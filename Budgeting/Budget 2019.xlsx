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Christensen\Documents\Budgeting\"/>
    </mc:Choice>
  </mc:AlternateContent>
  <xr:revisionPtr revIDLastSave="0" documentId="13_ncr:1_{C5E917FE-444E-4E30-B8F2-41E2E4BE3361}" xr6:coauthVersionLast="41" xr6:coauthVersionMax="41" xr10:uidLastSave="{00000000-0000-0000-0000-000000000000}"/>
  <bookViews>
    <workbookView xWindow="34560" yWindow="0" windowWidth="9216" windowHeight="9888" firstSheet="7" activeTab="10" xr2:uid="{0656B5F8-0B70-4E21-921D-5E34E02F5C01}"/>
  </bookViews>
  <sheets>
    <sheet name="Year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11" l="1"/>
  <c r="B33" i="10"/>
  <c r="C33" i="10"/>
  <c r="D33" i="10"/>
  <c r="E33" i="10"/>
  <c r="G33" i="10"/>
  <c r="H33" i="10"/>
  <c r="F33" i="10"/>
  <c r="C23" i="9" l="1"/>
  <c r="C22" i="9"/>
  <c r="C34" i="9" l="1"/>
  <c r="D34" i="9"/>
  <c r="E34" i="9"/>
  <c r="F34" i="9"/>
  <c r="H34" i="9"/>
  <c r="B34" i="9"/>
  <c r="B23" i="9"/>
  <c r="D20" i="9"/>
  <c r="C20" i="9"/>
  <c r="C17" i="9"/>
  <c r="D15" i="9"/>
  <c r="C15" i="9"/>
  <c r="C13" i="9"/>
  <c r="D13" i="9"/>
  <c r="C11" i="9"/>
  <c r="C9" i="9"/>
  <c r="C33" i="5"/>
  <c r="D33" i="5"/>
  <c r="E33" i="5"/>
  <c r="F33" i="5"/>
  <c r="H33" i="5"/>
  <c r="B33" i="5"/>
  <c r="C37" i="6"/>
  <c r="D37" i="6"/>
  <c r="E37" i="6"/>
  <c r="F37" i="6"/>
  <c r="H37" i="6"/>
  <c r="B37" i="6"/>
  <c r="B34" i="7"/>
  <c r="C34" i="7"/>
  <c r="D34" i="7"/>
  <c r="E34" i="7"/>
  <c r="G34" i="7"/>
  <c r="H34" i="7"/>
  <c r="F34" i="7"/>
  <c r="B34" i="8"/>
  <c r="C34" i="8"/>
  <c r="D34" i="8"/>
  <c r="E34" i="8"/>
  <c r="F34" i="8"/>
  <c r="H34" i="8"/>
  <c r="B30" i="8"/>
  <c r="C30" i="8"/>
  <c r="C28" i="8"/>
  <c r="C27" i="8"/>
  <c r="C23" i="8"/>
  <c r="C18" i="8"/>
  <c r="C17" i="8"/>
  <c r="C13" i="8"/>
  <c r="C9" i="8"/>
  <c r="B9" i="8"/>
  <c r="C5" i="8"/>
  <c r="C3" i="8"/>
  <c r="C2" i="8"/>
  <c r="C8" i="9"/>
  <c r="C6" i="9"/>
  <c r="C4" i="9"/>
  <c r="C32" i="7" l="1"/>
  <c r="C29" i="7"/>
  <c r="B29" i="7"/>
  <c r="C26" i="7"/>
  <c r="B23" i="7"/>
  <c r="C22" i="7"/>
  <c r="C20" i="7"/>
  <c r="D19" i="7"/>
  <c r="C19" i="7"/>
  <c r="C15" i="7"/>
  <c r="C14" i="7"/>
  <c r="C12" i="7"/>
  <c r="C4" i="7"/>
  <c r="D33" i="6" l="1"/>
  <c r="C33" i="6"/>
  <c r="B32" i="6"/>
  <c r="C26" i="6"/>
  <c r="C22" i="6"/>
  <c r="B15" i="6"/>
  <c r="C15" i="6"/>
  <c r="H13" i="6"/>
  <c r="C13" i="6"/>
  <c r="C11" i="6"/>
  <c r="C10" i="6"/>
  <c r="C9" i="6"/>
  <c r="C8" i="6"/>
  <c r="B4" i="6" l="1"/>
  <c r="C4" i="6"/>
  <c r="C31" i="5"/>
  <c r="E28" i="5"/>
  <c r="B27" i="5"/>
  <c r="C26" i="5"/>
  <c r="C25" i="5"/>
  <c r="C24" i="5"/>
  <c r="C23" i="5"/>
  <c r="C21" i="5"/>
  <c r="C19" i="5"/>
  <c r="C16" i="5"/>
  <c r="E14" i="5"/>
  <c r="H13" i="5"/>
  <c r="E12" i="5"/>
  <c r="C12" i="5"/>
  <c r="C10" i="5"/>
  <c r="C9" i="5"/>
  <c r="C5" i="5" l="1"/>
  <c r="B3" i="5"/>
  <c r="C2" i="5"/>
  <c r="B2" i="5"/>
  <c r="C30" i="4"/>
  <c r="C27" i="4"/>
  <c r="C26" i="4"/>
  <c r="B21" i="4"/>
  <c r="C19" i="4"/>
  <c r="C17" i="4"/>
  <c r="E17" i="4"/>
  <c r="H14" i="4"/>
  <c r="C14" i="4"/>
  <c r="C12" i="4"/>
  <c r="E10" i="4"/>
  <c r="C10" i="4"/>
  <c r="B9" i="4"/>
  <c r="C9" i="4"/>
  <c r="C7" i="4"/>
  <c r="C6" i="4"/>
  <c r="E31" i="3" l="1"/>
  <c r="H34" i="4"/>
  <c r="B34" i="4"/>
  <c r="D34" i="4"/>
  <c r="E34" i="4"/>
  <c r="F34" i="4"/>
  <c r="C3" i="4"/>
  <c r="C34" i="4" s="1"/>
  <c r="C29" i="3"/>
  <c r="C28" i="3"/>
  <c r="C26" i="3"/>
  <c r="C22" i="3"/>
  <c r="C19" i="3"/>
  <c r="H14" i="3"/>
  <c r="C15" i="3"/>
  <c r="C9" i="3"/>
  <c r="C8" i="3"/>
  <c r="C5" i="3"/>
  <c r="C3" i="3"/>
  <c r="C32" i="2"/>
  <c r="C31" i="2"/>
  <c r="C29" i="2"/>
  <c r="C27" i="2"/>
  <c r="C24" i="2" l="1"/>
  <c r="C25" i="2"/>
  <c r="B23" i="2"/>
  <c r="C23" i="2"/>
  <c r="B22" i="2"/>
  <c r="C18" i="2"/>
  <c r="B16" i="2"/>
  <c r="C16" i="2"/>
  <c r="C15" i="2"/>
  <c r="E15" i="2"/>
  <c r="B15" i="2"/>
  <c r="C9" i="2"/>
  <c r="C8" i="2"/>
  <c r="D8" i="2"/>
  <c r="C6" i="2"/>
  <c r="C5" i="2"/>
  <c r="D3" i="2"/>
  <c r="C3" i="2"/>
  <c r="D13" i="1" l="1"/>
  <c r="H34" i="13"/>
  <c r="G13" i="1" s="1"/>
  <c r="F34" i="13"/>
  <c r="F13" i="1" s="1"/>
  <c r="E34" i="13"/>
  <c r="E13" i="1" s="1"/>
  <c r="D34" i="13"/>
  <c r="C34" i="13"/>
  <c r="C13" i="1" s="1"/>
  <c r="B34" i="13"/>
  <c r="B13" i="1" s="1"/>
  <c r="H33" i="12"/>
  <c r="G12" i="1" s="1"/>
  <c r="F33" i="12"/>
  <c r="F12" i="1" s="1"/>
  <c r="E33" i="12"/>
  <c r="E12" i="1" s="1"/>
  <c r="D33" i="12"/>
  <c r="D12" i="1" s="1"/>
  <c r="C33" i="12"/>
  <c r="C12" i="1" s="1"/>
  <c r="B33" i="12"/>
  <c r="B12" i="1" s="1"/>
  <c r="H34" i="11"/>
  <c r="G11" i="1" s="1"/>
  <c r="F34" i="11"/>
  <c r="F11" i="1" s="1"/>
  <c r="E34" i="11"/>
  <c r="E11" i="1" s="1"/>
  <c r="D34" i="11"/>
  <c r="D11" i="1" s="1"/>
  <c r="C34" i="11"/>
  <c r="C11" i="1" s="1"/>
  <c r="B34" i="11"/>
  <c r="B11" i="1" s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C31" i="3"/>
  <c r="C3" i="1" s="1"/>
  <c r="D31" i="3"/>
  <c r="D3" i="1" s="1"/>
  <c r="E3" i="1"/>
  <c r="F31" i="3"/>
  <c r="F3" i="1" s="1"/>
  <c r="H31" i="3"/>
  <c r="G3" i="1" s="1"/>
  <c r="B31" i="3"/>
  <c r="B3" i="1" s="1"/>
  <c r="C34" i="2"/>
  <c r="C2" i="1" s="1"/>
  <c r="D34" i="2"/>
  <c r="D2" i="1" s="1"/>
  <c r="E34" i="2"/>
  <c r="E2" i="1" s="1"/>
  <c r="F34" i="2"/>
  <c r="F2" i="1" s="1"/>
  <c r="H34" i="2"/>
  <c r="G2" i="1" s="1"/>
  <c r="B34" i="2"/>
  <c r="B2" i="1" s="1"/>
  <c r="B15" i="1" l="1"/>
  <c r="I9" i="1"/>
  <c r="I10" i="1"/>
  <c r="I6" i="1"/>
  <c r="I5" i="1"/>
  <c r="G15" i="1"/>
  <c r="E15" i="1"/>
  <c r="D15" i="1"/>
  <c r="I13" i="1"/>
  <c r="I7" i="1"/>
  <c r="I12" i="1"/>
  <c r="F15" i="1"/>
  <c r="I4" i="1"/>
  <c r="C15" i="1"/>
  <c r="I2" i="1"/>
  <c r="I8" i="1"/>
  <c r="I11" i="1"/>
  <c r="I3" i="1"/>
  <c r="I15" i="1" l="1"/>
</calcChain>
</file>

<file path=xl/sharedStrings.xml><?xml version="1.0" encoding="utf-8"?>
<sst xmlns="http://schemas.openxmlformats.org/spreadsheetml/2006/main" count="288" uniqueCount="145">
  <si>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</si>
  <si>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</si>
  <si>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</si>
  <si>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</si>
  <si>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</si>
  <si>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</si>
  <si>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</si>
  <si>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</si>
  <si>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</si>
  <si>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</si>
  <si>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</si>
  <si>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</si>
  <si>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Groceries</t>
  </si>
  <si>
    <t>Eating Out</t>
  </si>
  <si>
    <t>Car</t>
  </si>
  <si>
    <t>Bills</t>
  </si>
  <si>
    <t>Other</t>
  </si>
  <si>
    <t>Totals</t>
  </si>
  <si>
    <t>Drugs</t>
  </si>
  <si>
    <t>D</t>
  </si>
  <si>
    <t>Atm fee</t>
  </si>
  <si>
    <t>Socks</t>
  </si>
  <si>
    <t>Interest</t>
  </si>
  <si>
    <t>Zybooks</t>
  </si>
  <si>
    <t>Wiper blades</t>
  </si>
  <si>
    <t>Griz card</t>
  </si>
  <si>
    <t>Climbing</t>
  </si>
  <si>
    <t>Pan</t>
  </si>
  <si>
    <t>Pjur</t>
  </si>
  <si>
    <t>Phone</t>
  </si>
  <si>
    <t>Internet</t>
  </si>
  <si>
    <t>Health Insurance</t>
  </si>
  <si>
    <t>Rent</t>
  </si>
  <si>
    <t>Car insurance</t>
  </si>
  <si>
    <t>Sunless Skies</t>
  </si>
  <si>
    <t>Spotify</t>
  </si>
  <si>
    <t>Getting over it</t>
  </si>
  <si>
    <t>Games</t>
  </si>
  <si>
    <t>Late Fee</t>
  </si>
  <si>
    <t>Toys</t>
  </si>
  <si>
    <t>Capo</t>
  </si>
  <si>
    <t>Gloves</t>
  </si>
  <si>
    <t>Physical Therapy</t>
  </si>
  <si>
    <t>Dark Souls</t>
  </si>
  <si>
    <t>Phone Feb + March</t>
  </si>
  <si>
    <t>Insurance</t>
  </si>
  <si>
    <t>Health insurance</t>
  </si>
  <si>
    <t>March rent</t>
  </si>
  <si>
    <t>Feb Rent</t>
  </si>
  <si>
    <t>Alaska Flight</t>
  </si>
  <si>
    <t>Cage</t>
  </si>
  <si>
    <t>Meridian line pants</t>
  </si>
  <si>
    <t>spotify</t>
  </si>
  <si>
    <t>Blanket Material</t>
  </si>
  <si>
    <t>Lolo trail run</t>
  </si>
  <si>
    <t>Walgreens something</t>
  </si>
  <si>
    <t>Chess.com</t>
  </si>
  <si>
    <t>Hormone monster mug</t>
  </si>
  <si>
    <t>Annual Bank Fee</t>
  </si>
  <si>
    <t>Ethernet cable</t>
  </si>
  <si>
    <t>Latin Book</t>
  </si>
  <si>
    <t>Domain Registry</t>
  </si>
  <si>
    <t>Late Fee Pmt</t>
  </si>
  <si>
    <t>Prairie</t>
  </si>
  <si>
    <t>Wallet</t>
  </si>
  <si>
    <t>Supplies</t>
  </si>
  <si>
    <t>Mom's Day Present</t>
  </si>
  <si>
    <t>Breadboard computer</t>
  </si>
  <si>
    <t>chess.com</t>
  </si>
  <si>
    <t>Pants</t>
  </si>
  <si>
    <t>Shirt</t>
  </si>
  <si>
    <t>Wire Strip Tool</t>
  </si>
  <si>
    <t>Underwear</t>
  </si>
  <si>
    <t>Lube</t>
  </si>
  <si>
    <t>Sun Tea Jar</t>
  </si>
  <si>
    <t>ATM Fee</t>
  </si>
  <si>
    <t>Nail tool</t>
  </si>
  <si>
    <t>Flash Drive</t>
  </si>
  <si>
    <t>Phone bill x2</t>
  </si>
  <si>
    <t>Notebook</t>
  </si>
  <si>
    <t>Game</t>
  </si>
  <si>
    <t>Computer Game</t>
  </si>
  <si>
    <t>Calc Book</t>
  </si>
  <si>
    <t>Borderlands Games</t>
  </si>
  <si>
    <t>Money to Mateo</t>
  </si>
  <si>
    <t>Prairie Wolfe</t>
  </si>
  <si>
    <t>Whiteboard</t>
  </si>
  <si>
    <t>to Mateo</t>
  </si>
  <si>
    <t>*NOT SURE*</t>
  </si>
  <si>
    <t>Erin Copayment</t>
  </si>
  <si>
    <t>Computer Parts/Graphics Card</t>
  </si>
  <si>
    <t>Computer Parts/ Power Supply</t>
  </si>
  <si>
    <t>Computer Parts/ CPU, MoBo</t>
  </si>
  <si>
    <t>Computer Parts/Ram?</t>
  </si>
  <si>
    <t>Book</t>
  </si>
  <si>
    <t>internet</t>
  </si>
  <si>
    <t>Vultr Server</t>
  </si>
  <si>
    <t>Phone Bill?</t>
  </si>
  <si>
    <t>Rent and Late Fee</t>
  </si>
  <si>
    <t>Amazon Prime</t>
  </si>
  <si>
    <t>Server Hosting</t>
  </si>
  <si>
    <t>HDD</t>
  </si>
  <si>
    <t>Movie</t>
  </si>
  <si>
    <t>Game (Steam)</t>
  </si>
  <si>
    <t>Paying Mateo Back</t>
  </si>
  <si>
    <t>Steam Game</t>
  </si>
  <si>
    <t>Newegg</t>
  </si>
  <si>
    <t>Steam Games</t>
  </si>
  <si>
    <t>Blind your ponies</t>
  </si>
  <si>
    <t>Wikipedia Donation</t>
  </si>
  <si>
    <t>Medal for Mateo</t>
  </si>
  <si>
    <t>Stronger Inc?</t>
  </si>
  <si>
    <t>Pens or something</t>
  </si>
  <si>
    <t>Surfboard and helmet</t>
  </si>
  <si>
    <t>Sunscreen</t>
  </si>
  <si>
    <t>Mic and stand</t>
  </si>
  <si>
    <t>Tea and pot</t>
  </si>
  <si>
    <t>MUST</t>
  </si>
  <si>
    <t>Phone Bill</t>
  </si>
  <si>
    <t>Haircut</t>
  </si>
  <si>
    <t>Steam Game (Trover)</t>
  </si>
  <si>
    <t>Personal trainer</t>
  </si>
  <si>
    <t>Helping out a friend</t>
  </si>
  <si>
    <t>Credit card ATM fee</t>
  </si>
  <si>
    <t>Guitar Strings</t>
  </si>
  <si>
    <t>DS+A Book</t>
  </si>
  <si>
    <t>Discrete math book</t>
  </si>
  <si>
    <t>Server hosting</t>
  </si>
  <si>
    <t>Shorts</t>
  </si>
  <si>
    <t>Evan</t>
  </si>
  <si>
    <t>Ben Eater Kit 2</t>
  </si>
  <si>
    <t>Computer Case</t>
  </si>
  <si>
    <t>Chess</t>
  </si>
  <si>
    <t>HumbleBundle</t>
  </si>
  <si>
    <t>Guitar Rebuild</t>
  </si>
  <si>
    <t>Estim</t>
  </si>
  <si>
    <t>razors</t>
  </si>
  <si>
    <t>Soap</t>
  </si>
  <si>
    <t>Supplements</t>
  </si>
  <si>
    <t>Whitney Williams Donation</t>
  </si>
  <si>
    <t>Change of address USPS</t>
  </si>
  <si>
    <t>CBD</t>
  </si>
  <si>
    <t>Check Bounced</t>
  </si>
  <si>
    <t>Carpet Cleaning</t>
  </si>
  <si>
    <t>Internet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</si>
</sst>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050B-9BBB-4B51-BC84-3B95012599D7}">
  <dimension ref="A1:I15"/>
  <sheetViews>
    <sheetView workbookViewId="0">
      <selection activeCell="I10" sqref="I10"/>
    </sheetView>
  </sheetViews>
  <sheetFormatPr defaultRowHeight="14.4" x14ac:dyDescent="0.3"/>
  <cols>
    <col min="1" max="1" width="10.5546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G1" t="s">
        <v>16</v>
      </c>
      <c r="I1" t="s">
        <v>17</v>
      </c>
    </row>
    <row r="2" spans="1:9" x14ac:dyDescent="0.3">
      <c r="A2" t="s">
        <v>0</v>
      </c>
      <c r="B2">
        <f>January!B34</f>
        <v>571.18000000000006</v>
      </c>
      <c r="C2">
        <f>January!C34</f>
        <v>757.96000000000015</v>
      </c>
      <c r="D2">
        <f>January!D34</f>
        <v>107.55000000000001</v>
      </c>
      <c r="E2">
        <f>January!E34</f>
        <v>131.42000000000002</v>
      </c>
      <c r="F2">
        <f>January!F34</f>
        <v>812.83</v>
      </c>
      <c r="G2">
        <f>January!H34</f>
        <v>288.78000000000003</v>
      </c>
      <c r="I2">
        <f>SUM(B2:G2)</f>
        <v>2669.7200000000007</v>
      </c>
    </row>
    <row r="3" spans="1:9" x14ac:dyDescent="0.3">
      <c r="A3" t="s">
        <v>1</v>
      </c>
      <c r="B3">
        <f>February!B31</f>
        <v>207.63</v>
      </c>
      <c r="C3">
        <f>February!C31</f>
        <v>409.84</v>
      </c>
      <c r="D3">
        <f>February!D31</f>
        <v>112.24999999999999</v>
      </c>
      <c r="E3">
        <f>February!E31</f>
        <v>113.1</v>
      </c>
      <c r="F3">
        <f>February!F31</f>
        <v>797.71</v>
      </c>
      <c r="G3">
        <f>February!H31</f>
        <v>392.14</v>
      </c>
      <c r="I3">
        <f t="shared" ref="I3:I13" si="0">SUM(B3:G3)</f>
        <v>2032.67</v>
      </c>
    </row>
    <row r="4" spans="1:9" x14ac:dyDescent="0.3">
      <c r="A4" t="s">
        <v>2</v>
      </c>
      <c r="B4">
        <f>March!B34</f>
        <v>281.37</v>
      </c>
      <c r="C4">
        <f>March!C34</f>
        <v>476.54000000000008</v>
      </c>
      <c r="D4">
        <f>March!D34</f>
        <v>11.49</v>
      </c>
      <c r="E4">
        <f>March!E34</f>
        <v>595.30000000000007</v>
      </c>
      <c r="F4">
        <f>March!F34</f>
        <v>855.03000000000009</v>
      </c>
      <c r="G4">
        <f>March!H34</f>
        <v>239.96</v>
      </c>
      <c r="I4">
        <f t="shared" si="0"/>
        <v>2459.6900000000005</v>
      </c>
    </row>
    <row r="5" spans="1:9" x14ac:dyDescent="0.3">
      <c r="A5" t="s">
        <v>3</v>
      </c>
      <c r="B5">
        <f>April!B33</f>
        <v>241.67999999999992</v>
      </c>
      <c r="C5">
        <f>April!C33</f>
        <v>507.13999999999993</v>
      </c>
      <c r="D5">
        <f>April!D33</f>
        <v>21.46</v>
      </c>
      <c r="E5">
        <f>April!E33</f>
        <v>75.28</v>
      </c>
      <c r="F5">
        <f>April!F33</f>
        <v>699.69</v>
      </c>
      <c r="G5">
        <f>April!H33</f>
        <v>213.59</v>
      </c>
      <c r="I5">
        <f t="shared" si="0"/>
        <v>1758.84</v>
      </c>
    </row>
    <row r="6" spans="1:9" x14ac:dyDescent="0.3">
      <c r="A6" t="s">
        <v>4</v>
      </c>
      <c r="B6">
        <f>May!B37</f>
        <v>230.55</v>
      </c>
      <c r="C6">
        <f>May!C37</f>
        <v>485.21000000000004</v>
      </c>
      <c r="D6">
        <f>May!D37</f>
        <v>66.150000000000006</v>
      </c>
      <c r="E6">
        <f>May!E37</f>
        <v>73.900000000000006</v>
      </c>
      <c r="F6">
        <f>May!F37</f>
        <v>776.32</v>
      </c>
      <c r="G6">
        <f>May!H37</f>
        <v>673.41000000000008</v>
      </c>
      <c r="I6">
        <f t="shared" si="0"/>
        <v>2305.54</v>
      </c>
    </row>
    <row r="7" spans="1:9" x14ac:dyDescent="0.3">
      <c r="A7" t="s">
        <v>5</v>
      </c>
      <c r="B7">
        <f>June!B34</f>
        <v>198.86</v>
      </c>
      <c r="C7">
        <f>June!C34</f>
        <v>537.70999999999992</v>
      </c>
      <c r="D7">
        <f>June!D34</f>
        <v>48.58</v>
      </c>
      <c r="E7">
        <f>June!E34</f>
        <v>79.61</v>
      </c>
      <c r="F7">
        <f>June!F34</f>
        <v>700.14</v>
      </c>
      <c r="G7">
        <f>June!H34</f>
        <v>809.9</v>
      </c>
      <c r="I7">
        <f t="shared" si="0"/>
        <v>2374.8000000000002</v>
      </c>
    </row>
    <row r="8" spans="1:9" x14ac:dyDescent="0.3">
      <c r="A8" t="s">
        <v>6</v>
      </c>
      <c r="B8">
        <f>July!B34</f>
        <v>167.4</v>
      </c>
      <c r="C8">
        <f>July!C34</f>
        <v>439.03999999999996</v>
      </c>
      <c r="D8">
        <f>July!D34</f>
        <v>68.61</v>
      </c>
      <c r="E8">
        <f>July!E34</f>
        <v>51.89</v>
      </c>
      <c r="F8">
        <f>July!F34</f>
        <v>749.34</v>
      </c>
      <c r="G8">
        <f>July!H34</f>
        <v>815.4</v>
      </c>
      <c r="I8">
        <f t="shared" si="0"/>
        <v>2291.6799999999998</v>
      </c>
    </row>
    <row r="9" spans="1:9" x14ac:dyDescent="0.3">
      <c r="A9" t="s">
        <v>7</v>
      </c>
      <c r="B9">
        <f>August!B34</f>
        <v>54.95</v>
      </c>
      <c r="C9">
        <f>August!C34</f>
        <v>490.67999999999995</v>
      </c>
      <c r="D9">
        <f>August!D34</f>
        <v>94.36</v>
      </c>
      <c r="E9">
        <f>August!E34</f>
        <v>95.16</v>
      </c>
      <c r="F9">
        <f>August!F34</f>
        <v>1278.2700000000002</v>
      </c>
      <c r="G9">
        <f>August!H34</f>
        <v>655.1</v>
      </c>
      <c r="I9">
        <f t="shared" si="0"/>
        <v>2668.52</v>
      </c>
    </row>
    <row r="10" spans="1:9" x14ac:dyDescent="0.3">
      <c r="A10" t="s">
        <v>8</v>
      </c>
      <c r="B10">
        <f>September!B33</f>
        <v>119.61999999999999</v>
      </c>
      <c r="C10">
        <f>September!C33</f>
        <v>186.72</v>
      </c>
      <c r="D10">
        <f>September!D33</f>
        <v>0</v>
      </c>
      <c r="E10">
        <f>September!E33</f>
        <v>138.36000000000001</v>
      </c>
      <c r="F10">
        <f>September!F33</f>
        <v>619.31000000000006</v>
      </c>
      <c r="G10">
        <f>September!H33</f>
        <v>557.28</v>
      </c>
      <c r="I10">
        <f t="shared" si="0"/>
        <v>1621.29</v>
      </c>
    </row>
    <row r="11" spans="1:9" x14ac:dyDescent="0.3">
      <c r="A11" t="s">
        <v>9</v>
      </c>
      <c r="B11">
        <f>October!B34</f>
        <v>104.19</v>
      </c>
      <c r="C11">
        <f>October!C34</f>
        <v>114.53</v>
      </c>
      <c r="D11">
        <f>October!D34</f>
        <v>24.71</v>
      </c>
      <c r="E11">
        <f>October!E34</f>
        <v>2</v>
      </c>
      <c r="F11">
        <f>October!F34</f>
        <v>594.18000000000006</v>
      </c>
      <c r="G11">
        <f>October!H34</f>
        <v>352.76</v>
      </c>
      <c r="I11">
        <f t="shared" si="0"/>
        <v>1192.3700000000001</v>
      </c>
    </row>
    <row r="12" spans="1:9" x14ac:dyDescent="0.3">
      <c r="A12" t="s">
        <v>10</v>
      </c>
      <c r="B12">
        <f>November!B33</f>
        <v>0</v>
      </c>
      <c r="C12">
        <f>November!C33</f>
        <v>0</v>
      </c>
      <c r="D12">
        <f>November!D33</f>
        <v>0</v>
      </c>
      <c r="E12">
        <f>November!E33</f>
        <v>0</v>
      </c>
      <c r="F12">
        <f>November!F33</f>
        <v>0</v>
      </c>
      <c r="G12">
        <f>November!H33</f>
        <v>0</v>
      </c>
      <c r="I12">
        <f t="shared" si="0"/>
        <v>0</v>
      </c>
    </row>
    <row r="13" spans="1:9" x14ac:dyDescent="0.3">
      <c r="A13" t="s">
        <v>11</v>
      </c>
      <c r="B13">
        <f>December!B34</f>
        <v>0</v>
      </c>
      <c r="C13">
        <f>December!C34</f>
        <v>0</v>
      </c>
      <c r="D13">
        <f>December!D34</f>
        <v>0</v>
      </c>
      <c r="E13">
        <f>December!E34</f>
        <v>0</v>
      </c>
      <c r="F13">
        <f>December!F34</f>
        <v>0</v>
      </c>
      <c r="G13">
        <f>December!H34</f>
        <v>0</v>
      </c>
      <c r="I13">
        <f t="shared" si="0"/>
        <v>0</v>
      </c>
    </row>
    <row r="15" spans="1:9" x14ac:dyDescent="0.3">
      <c r="A15" t="s">
        <v>17</v>
      </c>
      <c r="B15">
        <f>SUM(B2:B13)</f>
        <v>2177.4300000000003</v>
      </c>
      <c r="C15">
        <f t="shared" ref="C15:G15" si="1">SUM(C2:C13)</f>
        <v>4405.37</v>
      </c>
      <c r="D15">
        <f t="shared" si="1"/>
        <v>555.16000000000008</v>
      </c>
      <c r="E15">
        <f t="shared" si="1"/>
        <v>1356.02</v>
      </c>
      <c r="F15">
        <f t="shared" si="1"/>
        <v>7882.8200000000015</v>
      </c>
      <c r="G15">
        <f t="shared" si="1"/>
        <v>4998.3200000000006</v>
      </c>
      <c r="I15">
        <f>SUM(B15:G15)</f>
        <v>21375.120000000003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C9676-C981-449E-AF95-B1FE37DA74B3}">
  <dimension ref="A1:I34"/>
  <sheetViews>
    <sheetView workbookViewId="0">
      <selection activeCell="C3" sqref="C3"/>
    </sheetView>
  </sheetViews>
  <sheetFormatPr defaultRowHeight="14.4" x14ac:dyDescent="0.3"/>
  <cols>
    <col min="1" max="1" width="9.5546875" bestFit="1" customWidth="1"/>
    <col min="7" max="7" width="18" customWidth="1"/>
    <col min="9" max="9" width="12.5546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43466</v>
      </c>
    </row>
    <row r="3" spans="1:9" x14ac:dyDescent="0.3">
      <c r="A3" s="1">
        <v>43467</v>
      </c>
      <c r="C3">
        <f>66.25 + 9.75  + 25.45 + 4  + 11.24</f>
        <v>116.69</v>
      </c>
      <c r="D3">
        <f>10 + 9.59 + 23</f>
        <v>42.59</v>
      </c>
      <c r="E3">
        <v>31.97</v>
      </c>
      <c r="H3">
        <v>10</v>
      </c>
      <c r="I3" t="s">
        <v>20</v>
      </c>
    </row>
    <row r="4" spans="1:9" x14ac:dyDescent="0.3">
      <c r="A4" s="1">
        <v>43468</v>
      </c>
      <c r="C4">
        <v>24.48</v>
      </c>
      <c r="F4">
        <v>89</v>
      </c>
      <c r="G4" t="s">
        <v>31</v>
      </c>
    </row>
    <row r="5" spans="1:9" x14ac:dyDescent="0.3">
      <c r="A5" s="1">
        <v>43469</v>
      </c>
      <c r="C5">
        <f>16.91 + 16.49</f>
        <v>33.4</v>
      </c>
      <c r="F5">
        <v>565</v>
      </c>
      <c r="G5" t="s">
        <v>32</v>
      </c>
    </row>
    <row r="6" spans="1:9" x14ac:dyDescent="0.3">
      <c r="A6" s="1">
        <v>43470</v>
      </c>
      <c r="C6">
        <f>18 + 23.25 + 22.56 + 10.62</f>
        <v>74.430000000000007</v>
      </c>
      <c r="D6">
        <v>5</v>
      </c>
    </row>
    <row r="7" spans="1:9" x14ac:dyDescent="0.3">
      <c r="A7" s="1">
        <v>43471</v>
      </c>
    </row>
    <row r="8" spans="1:9" x14ac:dyDescent="0.3">
      <c r="A8" s="1">
        <v>43472</v>
      </c>
      <c r="B8">
        <v>59.99</v>
      </c>
      <c r="C8">
        <f>9.55 + 9.53 + 7.25 + 31.5</f>
        <v>57.83</v>
      </c>
      <c r="D8">
        <f>7 +  1.99</f>
        <v>8.99</v>
      </c>
      <c r="E8">
        <v>33.590000000000003</v>
      </c>
      <c r="H8">
        <v>51.4</v>
      </c>
      <c r="I8" t="s">
        <v>21</v>
      </c>
    </row>
    <row r="9" spans="1:9" x14ac:dyDescent="0.3">
      <c r="A9" s="1">
        <v>43473</v>
      </c>
      <c r="C9">
        <f>25.81</f>
        <v>25.81</v>
      </c>
      <c r="D9">
        <v>3.78</v>
      </c>
      <c r="H9">
        <v>8.23</v>
      </c>
      <c r="I9" t="s">
        <v>22</v>
      </c>
    </row>
    <row r="10" spans="1:9" x14ac:dyDescent="0.3">
      <c r="A10" s="1">
        <v>43474</v>
      </c>
      <c r="F10">
        <v>30</v>
      </c>
      <c r="G10" t="s">
        <v>29</v>
      </c>
    </row>
    <row r="11" spans="1:9" x14ac:dyDescent="0.3">
      <c r="A11" s="1">
        <v>43475</v>
      </c>
      <c r="B11">
        <v>5.89</v>
      </c>
      <c r="C11">
        <v>10.5</v>
      </c>
    </row>
    <row r="12" spans="1:9" x14ac:dyDescent="0.3">
      <c r="A12" s="1">
        <v>43476</v>
      </c>
      <c r="B12">
        <v>29.26</v>
      </c>
      <c r="H12">
        <v>88</v>
      </c>
      <c r="I12" t="s">
        <v>23</v>
      </c>
    </row>
    <row r="13" spans="1:9" x14ac:dyDescent="0.3">
      <c r="A13" s="1">
        <v>43477</v>
      </c>
      <c r="C13">
        <v>17.7</v>
      </c>
    </row>
    <row r="14" spans="1:9" x14ac:dyDescent="0.3">
      <c r="A14" s="1">
        <v>43478</v>
      </c>
    </row>
    <row r="15" spans="1:9" x14ac:dyDescent="0.3">
      <c r="A15" s="1">
        <v>43479</v>
      </c>
      <c r="B15">
        <f>22.34+8.78</f>
        <v>31.119999999999997</v>
      </c>
      <c r="C15">
        <f>85 + 8.77</f>
        <v>93.77</v>
      </c>
      <c r="E15">
        <f>22.36 + 30</f>
        <v>52.36</v>
      </c>
      <c r="H15">
        <v>27.18</v>
      </c>
      <c r="I15" t="s">
        <v>24</v>
      </c>
    </row>
    <row r="16" spans="1:9" x14ac:dyDescent="0.3">
      <c r="A16" s="1">
        <v>43480</v>
      </c>
      <c r="B16">
        <f>7.78 + 2.98</f>
        <v>10.76</v>
      </c>
      <c r="C16">
        <f>40.8 + 17.94</f>
        <v>58.739999999999995</v>
      </c>
      <c r="D16">
        <v>4.99</v>
      </c>
    </row>
    <row r="17" spans="1:9" x14ac:dyDescent="0.3">
      <c r="A17" s="1">
        <v>43481</v>
      </c>
      <c r="B17">
        <v>42.32</v>
      </c>
      <c r="C17">
        <v>3</v>
      </c>
      <c r="E17">
        <v>5</v>
      </c>
      <c r="F17">
        <v>59.99</v>
      </c>
      <c r="G17" t="s">
        <v>30</v>
      </c>
    </row>
    <row r="18" spans="1:9" x14ac:dyDescent="0.3">
      <c r="A18" s="1">
        <v>43482</v>
      </c>
      <c r="C18">
        <f>13.25 + 11.25 + 3</f>
        <v>27.5</v>
      </c>
      <c r="H18">
        <v>15</v>
      </c>
      <c r="I18" t="s">
        <v>25</v>
      </c>
    </row>
    <row r="19" spans="1:9" x14ac:dyDescent="0.3">
      <c r="A19" s="1">
        <v>43483</v>
      </c>
      <c r="C19">
        <v>6</v>
      </c>
      <c r="D19">
        <v>10</v>
      </c>
      <c r="E19">
        <v>1</v>
      </c>
      <c r="F19">
        <v>53.85</v>
      </c>
      <c r="G19" t="s">
        <v>33</v>
      </c>
      <c r="H19">
        <v>18</v>
      </c>
      <c r="I19" t="s">
        <v>26</v>
      </c>
    </row>
    <row r="20" spans="1:9" x14ac:dyDescent="0.3">
      <c r="A20" s="1">
        <v>43484</v>
      </c>
      <c r="B20">
        <v>105.15</v>
      </c>
    </row>
    <row r="21" spans="1:9" x14ac:dyDescent="0.3">
      <c r="A21" s="1">
        <v>43485</v>
      </c>
      <c r="H21">
        <v>35.49</v>
      </c>
      <c r="I21" t="s">
        <v>28</v>
      </c>
    </row>
    <row r="22" spans="1:9" x14ac:dyDescent="0.3">
      <c r="A22" s="1">
        <v>43486</v>
      </c>
      <c r="B22">
        <f>184.96 + 6.98 + 15.56</f>
        <v>207.5</v>
      </c>
      <c r="C22">
        <v>14.34</v>
      </c>
    </row>
    <row r="23" spans="1:9" x14ac:dyDescent="0.3">
      <c r="A23" s="1">
        <v>43487</v>
      </c>
      <c r="B23">
        <f>6.49 + 3.49</f>
        <v>9.98</v>
      </c>
      <c r="C23">
        <f>30.5 + 5.25</f>
        <v>35.75</v>
      </c>
      <c r="H23">
        <v>7.5</v>
      </c>
      <c r="I23" t="s">
        <v>27</v>
      </c>
    </row>
    <row r="24" spans="1:9" x14ac:dyDescent="0.3">
      <c r="A24" s="1">
        <v>43488</v>
      </c>
      <c r="B24">
        <v>13.23</v>
      </c>
      <c r="C24">
        <f>4 + 17.5</f>
        <v>21.5</v>
      </c>
      <c r="E24">
        <v>7.5</v>
      </c>
    </row>
    <row r="25" spans="1:9" x14ac:dyDescent="0.3">
      <c r="A25" s="1">
        <v>43489</v>
      </c>
      <c r="C25">
        <f>6.5 + 8 + 8.95</f>
        <v>23.45</v>
      </c>
      <c r="D25">
        <v>32.200000000000003</v>
      </c>
    </row>
    <row r="26" spans="1:9" x14ac:dyDescent="0.3">
      <c r="A26" s="1">
        <v>43490</v>
      </c>
      <c r="C26">
        <v>9.9499999999999993</v>
      </c>
    </row>
    <row r="27" spans="1:9" x14ac:dyDescent="0.3">
      <c r="A27" s="1">
        <v>43491</v>
      </c>
      <c r="C27">
        <f>SUM(15.6, 7.48, 9.2, 10)</f>
        <v>42.28</v>
      </c>
    </row>
    <row r="28" spans="1:9" x14ac:dyDescent="0.3">
      <c r="A28" s="1">
        <v>43492</v>
      </c>
      <c r="H28">
        <v>19.989999999999998</v>
      </c>
      <c r="I28" t="s">
        <v>34</v>
      </c>
    </row>
    <row r="29" spans="1:9" x14ac:dyDescent="0.3">
      <c r="A29" s="1">
        <v>43493</v>
      </c>
      <c r="B29">
        <v>8.4700000000000006</v>
      </c>
      <c r="C29">
        <f>SUM(2.35,6.3,6.3)</f>
        <v>14.95</v>
      </c>
      <c r="F29">
        <v>14.99</v>
      </c>
      <c r="G29" t="s">
        <v>35</v>
      </c>
    </row>
    <row r="30" spans="1:9" x14ac:dyDescent="0.3">
      <c r="A30" s="1">
        <v>43494</v>
      </c>
      <c r="B30">
        <v>42.02</v>
      </c>
      <c r="C30">
        <v>12.59</v>
      </c>
      <c r="H30">
        <v>7.99</v>
      </c>
      <c r="I30" t="s">
        <v>36</v>
      </c>
    </row>
    <row r="31" spans="1:9" x14ac:dyDescent="0.3">
      <c r="A31" s="1">
        <v>43495</v>
      </c>
      <c r="B31">
        <v>5.49</v>
      </c>
      <c r="C31">
        <f>SUM(10.95,5.25)</f>
        <v>16.2</v>
      </c>
    </row>
    <row r="32" spans="1:9" x14ac:dyDescent="0.3">
      <c r="A32" s="1">
        <v>43496</v>
      </c>
      <c r="C32">
        <f>SUM(4.5,12.6)</f>
        <v>17.100000000000001</v>
      </c>
    </row>
    <row r="34" spans="1:8" x14ac:dyDescent="0.3">
      <c r="A34" t="s">
        <v>17</v>
      </c>
      <c r="B34">
        <f>SUM(B2:B32)</f>
        <v>571.18000000000006</v>
      </c>
      <c r="C34">
        <f t="shared" ref="C34:H34" si="0">SUM(C2:C32)</f>
        <v>757.96000000000015</v>
      </c>
      <c r="D34">
        <f t="shared" si="0"/>
        <v>107.55000000000001</v>
      </c>
      <c r="E34">
        <f t="shared" si="0"/>
        <v>131.42000000000002</v>
      </c>
      <c r="F34">
        <f t="shared" si="0"/>
        <v>812.83</v>
      </c>
      <c r="H34">
        <f t="shared" si="0"/>
        <v>288.78000000000003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F9BED-DBA1-4086-954F-3AA347C0FEAE}">
  <dimension ref="A1:I31"/>
  <sheetViews>
    <sheetView workbookViewId="0">
      <selection activeCell="E32" sqref="E32"/>
    </sheetView>
  </sheetViews>
  <sheetFormatPr defaultRowHeight="14.4" x14ac:dyDescent="0.3"/>
  <cols>
    <col min="1" max="1" width="10.6640625" customWidth="1"/>
    <col min="7" max="7" width="16.3320312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43497</v>
      </c>
      <c r="B2">
        <v>2.79</v>
      </c>
      <c r="C2">
        <v>7.5</v>
      </c>
      <c r="D2">
        <v>5.38</v>
      </c>
      <c r="F2">
        <v>595</v>
      </c>
      <c r="G2" t="s">
        <v>48</v>
      </c>
    </row>
    <row r="3" spans="1:9" x14ac:dyDescent="0.3">
      <c r="A3" s="1">
        <v>43498</v>
      </c>
      <c r="B3">
        <v>29.34</v>
      </c>
      <c r="C3">
        <f>SUM(18,17.1)</f>
        <v>35.1</v>
      </c>
      <c r="D3">
        <v>4.99</v>
      </c>
      <c r="E3">
        <v>33.409999999999997</v>
      </c>
    </row>
    <row r="4" spans="1:9" x14ac:dyDescent="0.3">
      <c r="A4" s="1">
        <v>43499</v>
      </c>
    </row>
    <row r="5" spans="1:9" x14ac:dyDescent="0.3">
      <c r="A5" s="1">
        <v>43500</v>
      </c>
      <c r="C5">
        <f>SUM(1,2.75,10)</f>
        <v>13.75</v>
      </c>
      <c r="D5">
        <v>9.98</v>
      </c>
      <c r="F5">
        <v>89</v>
      </c>
      <c r="G5" t="s">
        <v>46</v>
      </c>
      <c r="H5">
        <v>17.489999999999998</v>
      </c>
      <c r="I5" t="s">
        <v>37</v>
      </c>
    </row>
    <row r="6" spans="1:9" x14ac:dyDescent="0.3">
      <c r="A6" s="1">
        <v>43501</v>
      </c>
      <c r="B6">
        <v>37.130000000000003</v>
      </c>
      <c r="E6">
        <v>7.5</v>
      </c>
      <c r="H6">
        <v>22.49</v>
      </c>
      <c r="I6" t="s">
        <v>37</v>
      </c>
    </row>
    <row r="7" spans="1:9" x14ac:dyDescent="0.3">
      <c r="A7" s="1">
        <v>43502</v>
      </c>
      <c r="H7">
        <v>25</v>
      </c>
      <c r="I7" t="s">
        <v>38</v>
      </c>
    </row>
    <row r="8" spans="1:9" x14ac:dyDescent="0.3">
      <c r="A8" s="1">
        <v>43503</v>
      </c>
      <c r="C8">
        <f>SUM(10,2.59,10.35,7.95)</f>
        <v>30.889999999999997</v>
      </c>
      <c r="E8">
        <v>7.5</v>
      </c>
      <c r="H8">
        <v>19.38</v>
      </c>
      <c r="I8" t="s">
        <v>22</v>
      </c>
    </row>
    <row r="9" spans="1:9" x14ac:dyDescent="0.3">
      <c r="A9" s="1">
        <v>43504</v>
      </c>
      <c r="C9">
        <f>SUM(16.2,4)</f>
        <v>20.2</v>
      </c>
      <c r="D9">
        <v>16.100000000000001</v>
      </c>
    </row>
    <row r="10" spans="1:9" x14ac:dyDescent="0.3">
      <c r="A10" s="1">
        <v>43505</v>
      </c>
    </row>
    <row r="11" spans="1:9" x14ac:dyDescent="0.3">
      <c r="A11" s="1">
        <v>43506</v>
      </c>
    </row>
    <row r="12" spans="1:9" x14ac:dyDescent="0.3">
      <c r="A12" s="1">
        <v>43507</v>
      </c>
      <c r="C12">
        <v>10</v>
      </c>
      <c r="E12">
        <v>9.98</v>
      </c>
    </row>
    <row r="13" spans="1:9" x14ac:dyDescent="0.3">
      <c r="A13" s="1">
        <v>43508</v>
      </c>
      <c r="B13">
        <v>14.76</v>
      </c>
      <c r="C13">
        <v>13.14</v>
      </c>
      <c r="E13">
        <v>7.5</v>
      </c>
    </row>
    <row r="14" spans="1:9" x14ac:dyDescent="0.3">
      <c r="A14" s="1">
        <v>43509</v>
      </c>
      <c r="C14">
        <v>7.75</v>
      </c>
      <c r="F14">
        <v>59.99</v>
      </c>
      <c r="G14" t="s">
        <v>30</v>
      </c>
      <c r="H14">
        <f>SUM(25.98,40.1)</f>
        <v>66.08</v>
      </c>
      <c r="I14" t="s">
        <v>39</v>
      </c>
    </row>
    <row r="15" spans="1:9" x14ac:dyDescent="0.3">
      <c r="A15" s="1">
        <v>43510</v>
      </c>
      <c r="B15">
        <v>5.89</v>
      </c>
      <c r="C15">
        <f>SUM(10,10.7)</f>
        <v>20.7</v>
      </c>
      <c r="H15">
        <v>40</v>
      </c>
      <c r="I15" t="s">
        <v>40</v>
      </c>
    </row>
    <row r="16" spans="1:9" x14ac:dyDescent="0.3">
      <c r="A16" s="1">
        <v>43511</v>
      </c>
      <c r="C16">
        <v>25.48</v>
      </c>
    </row>
    <row r="17" spans="1:9" x14ac:dyDescent="0.3">
      <c r="A17" s="1">
        <v>43512</v>
      </c>
      <c r="C17">
        <v>9.9499999999999993</v>
      </c>
      <c r="D17">
        <v>13.77</v>
      </c>
      <c r="E17">
        <v>9</v>
      </c>
    </row>
    <row r="18" spans="1:9" x14ac:dyDescent="0.3">
      <c r="A18" s="1">
        <v>43513</v>
      </c>
    </row>
    <row r="19" spans="1:9" x14ac:dyDescent="0.3">
      <c r="A19" s="1">
        <v>43514</v>
      </c>
      <c r="C19">
        <f>SUM(13.5,52.56,6,8.95)</f>
        <v>81.010000000000005</v>
      </c>
    </row>
    <row r="20" spans="1:9" x14ac:dyDescent="0.3">
      <c r="A20" s="1">
        <v>43515</v>
      </c>
      <c r="B20">
        <v>32.5</v>
      </c>
      <c r="D20">
        <v>40</v>
      </c>
      <c r="H20">
        <v>10</v>
      </c>
      <c r="I20" t="s">
        <v>41</v>
      </c>
    </row>
    <row r="21" spans="1:9" x14ac:dyDescent="0.3">
      <c r="A21" s="1">
        <v>43516</v>
      </c>
      <c r="C21">
        <v>14</v>
      </c>
      <c r="F21">
        <v>53.72</v>
      </c>
      <c r="G21" t="s">
        <v>45</v>
      </c>
    </row>
    <row r="22" spans="1:9" x14ac:dyDescent="0.3">
      <c r="A22" s="1">
        <v>43517</v>
      </c>
      <c r="B22">
        <v>13.76</v>
      </c>
      <c r="C22">
        <f>SUM(14.34,10)</f>
        <v>24.34</v>
      </c>
      <c r="H22">
        <v>39.99</v>
      </c>
      <c r="I22" t="s">
        <v>43</v>
      </c>
    </row>
    <row r="23" spans="1:9" x14ac:dyDescent="0.3">
      <c r="A23" s="1">
        <v>43518</v>
      </c>
      <c r="D23">
        <v>17.04</v>
      </c>
      <c r="H23">
        <v>80</v>
      </c>
      <c r="I23" t="s">
        <v>42</v>
      </c>
    </row>
    <row r="24" spans="1:9" x14ac:dyDescent="0.3">
      <c r="A24" s="1">
        <v>43519</v>
      </c>
      <c r="B24">
        <v>61.64</v>
      </c>
      <c r="H24">
        <v>71.709999999999994</v>
      </c>
      <c r="I24" t="s">
        <v>39</v>
      </c>
    </row>
    <row r="25" spans="1:9" x14ac:dyDescent="0.3">
      <c r="A25" s="1">
        <v>43520</v>
      </c>
      <c r="C25">
        <v>4.5</v>
      </c>
    </row>
    <row r="26" spans="1:9" x14ac:dyDescent="0.3">
      <c r="A26" s="1">
        <v>43521</v>
      </c>
      <c r="C26">
        <f>SUM(10,4.6)</f>
        <v>14.6</v>
      </c>
    </row>
    <row r="27" spans="1:9" x14ac:dyDescent="0.3">
      <c r="A27" s="1">
        <v>43522</v>
      </c>
      <c r="B27">
        <v>9.82</v>
      </c>
      <c r="E27">
        <v>6</v>
      </c>
    </row>
    <row r="28" spans="1:9" x14ac:dyDescent="0.3">
      <c r="A28" s="1">
        <v>43523</v>
      </c>
      <c r="C28">
        <f>SUM(17.5,4.5)</f>
        <v>22</v>
      </c>
    </row>
    <row r="29" spans="1:9" x14ac:dyDescent="0.3">
      <c r="A29" s="1">
        <v>43524</v>
      </c>
      <c r="C29">
        <f>SUM(4.89,36,14.04)</f>
        <v>54.93</v>
      </c>
      <c r="D29">
        <v>4.99</v>
      </c>
      <c r="E29">
        <v>32.21</v>
      </c>
    </row>
    <row r="30" spans="1:9" x14ac:dyDescent="0.3">
      <c r="A30" s="1"/>
    </row>
    <row r="31" spans="1:9" x14ac:dyDescent="0.3">
      <c r="A31" t="s">
        <v>17</v>
      </c>
      <c r="B31">
        <f>SUM(B2:B29)</f>
        <v>207.63</v>
      </c>
      <c r="C31">
        <f t="shared" ref="C31:H31" si="0">SUM(C2:C29)</f>
        <v>409.84</v>
      </c>
      <c r="D31">
        <f t="shared" si="0"/>
        <v>112.24999999999999</v>
      </c>
      <c r="E31">
        <f>SUM(E2:E29)</f>
        <v>113.1</v>
      </c>
      <c r="F31">
        <f t="shared" si="0"/>
        <v>797.71</v>
      </c>
      <c r="H31">
        <f t="shared" si="0"/>
        <v>392.14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F13D-1A28-4008-A32A-1E1DD2B59846}">
  <dimension ref="A1:I34"/>
  <sheetViews>
    <sheetView workbookViewId="0">
      <selection activeCell="F20" sqref="F20"/>
    </sheetView>
  </sheetViews>
  <sheetFormatPr defaultRowHeight="14.4" x14ac:dyDescent="0.3"/>
  <cols>
    <col min="1" max="1" width="10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43525</v>
      </c>
      <c r="F2">
        <v>14.99</v>
      </c>
      <c r="G2" t="s">
        <v>35</v>
      </c>
    </row>
    <row r="3" spans="1:9" x14ac:dyDescent="0.3">
      <c r="A3" s="1">
        <v>43526</v>
      </c>
      <c r="B3">
        <v>40.99</v>
      </c>
      <c r="C3">
        <f>SUM(11,15.84,3.5)</f>
        <v>30.34</v>
      </c>
      <c r="F3">
        <v>565</v>
      </c>
      <c r="G3" t="s">
        <v>47</v>
      </c>
    </row>
    <row r="4" spans="1:9" x14ac:dyDescent="0.3">
      <c r="A4" s="1">
        <v>43527</v>
      </c>
      <c r="C4">
        <v>6.5</v>
      </c>
      <c r="F4">
        <v>72.33</v>
      </c>
      <c r="G4" t="s">
        <v>44</v>
      </c>
    </row>
    <row r="5" spans="1:9" x14ac:dyDescent="0.3">
      <c r="A5" s="1">
        <v>43528</v>
      </c>
      <c r="F5">
        <v>89</v>
      </c>
      <c r="G5" t="s">
        <v>31</v>
      </c>
    </row>
    <row r="6" spans="1:9" x14ac:dyDescent="0.3">
      <c r="A6" s="1">
        <v>43529</v>
      </c>
      <c r="C6">
        <f>SUM(11,12.59)</f>
        <v>23.59</v>
      </c>
    </row>
    <row r="7" spans="1:9" x14ac:dyDescent="0.3">
      <c r="A7" s="1">
        <v>43530</v>
      </c>
      <c r="C7">
        <f>SUM(12.6,4.35,1.75)</f>
        <v>18.7</v>
      </c>
    </row>
    <row r="8" spans="1:9" x14ac:dyDescent="0.3">
      <c r="A8" s="1">
        <v>43531</v>
      </c>
      <c r="B8">
        <v>11.78</v>
      </c>
      <c r="C8">
        <v>14</v>
      </c>
      <c r="H8">
        <v>26.26</v>
      </c>
    </row>
    <row r="9" spans="1:9" x14ac:dyDescent="0.3">
      <c r="A9" s="1">
        <v>43532</v>
      </c>
      <c r="B9">
        <f>SUM(8.13,5.89)</f>
        <v>14.02</v>
      </c>
      <c r="C9">
        <f>SUM(17.04,10)</f>
        <v>27.04</v>
      </c>
      <c r="H9">
        <v>11.2</v>
      </c>
      <c r="I9" t="s">
        <v>49</v>
      </c>
    </row>
    <row r="10" spans="1:9" x14ac:dyDescent="0.3">
      <c r="A10" s="1">
        <v>43533</v>
      </c>
      <c r="B10">
        <v>5.89</v>
      </c>
      <c r="C10">
        <f>SUM(11.1,21.6)</f>
        <v>32.700000000000003</v>
      </c>
      <c r="E10">
        <f>SUM(14.07,1)</f>
        <v>15.07</v>
      </c>
    </row>
    <row r="11" spans="1:9" x14ac:dyDescent="0.3">
      <c r="A11" s="1">
        <v>43534</v>
      </c>
    </row>
    <row r="12" spans="1:9" x14ac:dyDescent="0.3">
      <c r="A12" s="1">
        <v>43535</v>
      </c>
      <c r="B12">
        <v>38.67</v>
      </c>
      <c r="C12">
        <f>SUM(10,25)</f>
        <v>35</v>
      </c>
      <c r="D12">
        <v>6</v>
      </c>
      <c r="E12">
        <v>3.5</v>
      </c>
      <c r="H12">
        <v>5.5</v>
      </c>
    </row>
    <row r="13" spans="1:9" x14ac:dyDescent="0.3">
      <c r="A13" s="1">
        <v>43536</v>
      </c>
      <c r="C13">
        <v>19.25</v>
      </c>
      <c r="E13">
        <v>9</v>
      </c>
      <c r="H13">
        <v>184</v>
      </c>
      <c r="I13" t="s">
        <v>50</v>
      </c>
    </row>
    <row r="14" spans="1:9" x14ac:dyDescent="0.3">
      <c r="A14" s="1">
        <v>43537</v>
      </c>
      <c r="B14">
        <v>4.6500000000000004</v>
      </c>
      <c r="C14">
        <f>SUM(4.65,16.44)</f>
        <v>21.090000000000003</v>
      </c>
      <c r="H14">
        <f>SUM(8,5)</f>
        <v>13</v>
      </c>
      <c r="I14" t="s">
        <v>51</v>
      </c>
    </row>
    <row r="15" spans="1:9" x14ac:dyDescent="0.3">
      <c r="A15" s="1">
        <v>43538</v>
      </c>
      <c r="C15">
        <v>10</v>
      </c>
      <c r="E15">
        <v>9</v>
      </c>
    </row>
    <row r="16" spans="1:9" x14ac:dyDescent="0.3">
      <c r="A16" s="1">
        <v>43539</v>
      </c>
      <c r="B16">
        <v>57.68</v>
      </c>
    </row>
    <row r="17" spans="1:7" x14ac:dyDescent="0.3">
      <c r="A17" s="1">
        <v>43540</v>
      </c>
      <c r="B17">
        <v>11.39</v>
      </c>
      <c r="C17">
        <f>SUM(13.75,7.54)</f>
        <v>21.29</v>
      </c>
      <c r="E17">
        <f>SUM(31.35,204)</f>
        <v>235.35</v>
      </c>
    </row>
    <row r="18" spans="1:7" x14ac:dyDescent="0.3">
      <c r="A18" s="1">
        <v>43541</v>
      </c>
    </row>
    <row r="19" spans="1:7" x14ac:dyDescent="0.3">
      <c r="A19" s="1">
        <v>43542</v>
      </c>
      <c r="C19">
        <f>SUM(1.3,10.5,6.75,16.74)</f>
        <v>35.29</v>
      </c>
      <c r="D19">
        <v>5.49</v>
      </c>
      <c r="F19">
        <v>59.99</v>
      </c>
      <c r="G19" t="s">
        <v>30</v>
      </c>
    </row>
    <row r="20" spans="1:7" x14ac:dyDescent="0.3">
      <c r="A20" s="1">
        <v>43543</v>
      </c>
      <c r="B20">
        <v>6.99</v>
      </c>
      <c r="F20">
        <v>53.72</v>
      </c>
      <c r="G20" t="s">
        <v>33</v>
      </c>
    </row>
    <row r="21" spans="1:7" x14ac:dyDescent="0.3">
      <c r="A21" s="1">
        <v>43544</v>
      </c>
      <c r="B21">
        <f>SUM(9.48,8.34,6.29)</f>
        <v>24.11</v>
      </c>
      <c r="C21">
        <v>26</v>
      </c>
    </row>
    <row r="22" spans="1:7" x14ac:dyDescent="0.3">
      <c r="A22" s="1">
        <v>43545</v>
      </c>
      <c r="B22">
        <v>2.75</v>
      </c>
      <c r="C22">
        <v>15.54</v>
      </c>
      <c r="E22">
        <v>171.36</v>
      </c>
    </row>
    <row r="23" spans="1:7" x14ac:dyDescent="0.3">
      <c r="A23" s="1">
        <v>43546</v>
      </c>
      <c r="B23">
        <v>20.32</v>
      </c>
      <c r="C23">
        <v>10</v>
      </c>
    </row>
    <row r="24" spans="1:7" x14ac:dyDescent="0.3">
      <c r="A24" s="1">
        <v>43547</v>
      </c>
    </row>
    <row r="25" spans="1:7" x14ac:dyDescent="0.3">
      <c r="A25" s="1">
        <v>43548</v>
      </c>
    </row>
    <row r="26" spans="1:7" x14ac:dyDescent="0.3">
      <c r="A26" s="1">
        <v>43549</v>
      </c>
      <c r="B26">
        <v>42.13</v>
      </c>
      <c r="C26">
        <f>SUM(13.08,25.42,7.64,7.21)</f>
        <v>53.35</v>
      </c>
      <c r="E26">
        <v>25.64</v>
      </c>
    </row>
    <row r="27" spans="1:7" x14ac:dyDescent="0.3">
      <c r="A27" s="1">
        <v>43550</v>
      </c>
      <c r="C27">
        <f>SUM(12.75,27.5)</f>
        <v>40.25</v>
      </c>
      <c r="E27">
        <v>35.76</v>
      </c>
    </row>
    <row r="28" spans="1:7" x14ac:dyDescent="0.3">
      <c r="A28" s="1">
        <v>43551</v>
      </c>
      <c r="E28">
        <v>25.9</v>
      </c>
    </row>
    <row r="29" spans="1:7" x14ac:dyDescent="0.3">
      <c r="A29" s="1">
        <v>43552</v>
      </c>
      <c r="C29">
        <v>4.17</v>
      </c>
      <c r="E29">
        <v>25.88</v>
      </c>
    </row>
    <row r="30" spans="1:7" x14ac:dyDescent="0.3">
      <c r="A30" s="1">
        <v>43553</v>
      </c>
      <c r="C30">
        <f>SUM(2.59,12.75)</f>
        <v>15.34</v>
      </c>
      <c r="E30">
        <v>33.35</v>
      </c>
    </row>
    <row r="31" spans="1:7" x14ac:dyDescent="0.3">
      <c r="A31" s="1">
        <v>43554</v>
      </c>
      <c r="C31">
        <v>17.100000000000001</v>
      </c>
      <c r="E31">
        <v>5.49</v>
      </c>
    </row>
    <row r="32" spans="1:7" x14ac:dyDescent="0.3">
      <c r="A32" s="1">
        <v>43555</v>
      </c>
    </row>
    <row r="34" spans="1:8" x14ac:dyDescent="0.3">
      <c r="A34" t="s">
        <v>17</v>
      </c>
      <c r="B34">
        <f t="shared" ref="B34:H34" si="0">SUM(B2:B32)</f>
        <v>281.37</v>
      </c>
      <c r="C34">
        <f t="shared" si="0"/>
        <v>476.54000000000008</v>
      </c>
      <c r="D34">
        <f t="shared" si="0"/>
        <v>11.49</v>
      </c>
      <c r="E34">
        <f t="shared" si="0"/>
        <v>595.30000000000007</v>
      </c>
      <c r="F34">
        <f>SUM(F2:F32)</f>
        <v>855.03000000000009</v>
      </c>
      <c r="H34">
        <f t="shared" si="0"/>
        <v>239.96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9D9D-4CBA-43C4-B4D5-1AF18FDA16EC}">
  <dimension ref="A1:I33"/>
  <sheetViews>
    <sheetView topLeftCell="A28" workbookViewId="0">
      <selection activeCell="G33" sqref="G33"/>
    </sheetView>
  </sheetViews>
  <sheetFormatPr defaultRowHeight="14.4" x14ac:dyDescent="0.3"/>
  <cols>
    <col min="1" max="1" width="10" customWidth="1"/>
    <col min="7" max="7" width="9.6640625" customWidth="1"/>
    <col min="9" max="9" width="19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43556</v>
      </c>
      <c r="B2">
        <f>SUM(20.42,11.97,40.6)</f>
        <v>72.990000000000009</v>
      </c>
      <c r="C2">
        <f>SUM(10.5,10.5)</f>
        <v>21</v>
      </c>
      <c r="F2">
        <v>14.99</v>
      </c>
      <c r="G2" t="s">
        <v>52</v>
      </c>
    </row>
    <row r="3" spans="1:9" x14ac:dyDescent="0.3">
      <c r="A3" s="1">
        <v>43557</v>
      </c>
      <c r="B3">
        <f>SUM(2.15,15.86)</f>
        <v>18.009999999999998</v>
      </c>
      <c r="C3">
        <v>4.75</v>
      </c>
      <c r="F3">
        <v>565</v>
      </c>
      <c r="G3" t="s">
        <v>32</v>
      </c>
    </row>
    <row r="4" spans="1:9" x14ac:dyDescent="0.3">
      <c r="A4" s="1">
        <v>43558</v>
      </c>
      <c r="C4">
        <v>14.5</v>
      </c>
    </row>
    <row r="5" spans="1:9" x14ac:dyDescent="0.3">
      <c r="A5" s="1">
        <v>43559</v>
      </c>
      <c r="B5">
        <v>5.89</v>
      </c>
      <c r="C5">
        <f>SUM(13.5,12.02)</f>
        <v>25.52</v>
      </c>
      <c r="H5">
        <v>52.33</v>
      </c>
      <c r="I5" t="s">
        <v>53</v>
      </c>
    </row>
    <row r="6" spans="1:9" x14ac:dyDescent="0.3">
      <c r="A6" s="1">
        <v>43560</v>
      </c>
      <c r="B6">
        <v>8.8800000000000008</v>
      </c>
    </row>
    <row r="7" spans="1:9" x14ac:dyDescent="0.3">
      <c r="A7" s="1">
        <v>43561</v>
      </c>
      <c r="B7">
        <v>5.89</v>
      </c>
    </row>
    <row r="8" spans="1:9" x14ac:dyDescent="0.3">
      <c r="A8" s="1">
        <v>43562</v>
      </c>
    </row>
    <row r="9" spans="1:9" x14ac:dyDescent="0.3">
      <c r="A9" s="1">
        <v>43563</v>
      </c>
      <c r="C9">
        <f>SUM(10.5,33.6,15.56)</f>
        <v>59.660000000000004</v>
      </c>
    </row>
    <row r="10" spans="1:9" x14ac:dyDescent="0.3">
      <c r="A10" s="1">
        <v>43564</v>
      </c>
      <c r="B10">
        <v>40.82</v>
      </c>
      <c r="C10">
        <f>SUM(10.5,6)</f>
        <v>16.5</v>
      </c>
    </row>
    <row r="11" spans="1:9" x14ac:dyDescent="0.3">
      <c r="A11" s="1">
        <v>43565</v>
      </c>
      <c r="C11">
        <v>15.54</v>
      </c>
    </row>
    <row r="12" spans="1:9" x14ac:dyDescent="0.3">
      <c r="A12" s="1">
        <v>43566</v>
      </c>
      <c r="B12">
        <v>13.17</v>
      </c>
      <c r="C12">
        <f>SUM(5.25,10.45)</f>
        <v>15.7</v>
      </c>
      <c r="D12">
        <v>5.49</v>
      </c>
      <c r="E12">
        <f>SUM(3.5+9)</f>
        <v>12.5</v>
      </c>
    </row>
    <row r="13" spans="1:9" x14ac:dyDescent="0.3">
      <c r="A13" s="1">
        <v>43567</v>
      </c>
      <c r="H13">
        <f>SUM(4.79,7.5)</f>
        <v>12.29</v>
      </c>
      <c r="I13" t="s">
        <v>37</v>
      </c>
    </row>
    <row r="14" spans="1:9" x14ac:dyDescent="0.3">
      <c r="A14" s="1">
        <v>43568</v>
      </c>
      <c r="C14">
        <v>10.45</v>
      </c>
      <c r="E14">
        <f>SUM(1,43.28)</f>
        <v>44.28</v>
      </c>
      <c r="H14">
        <v>62</v>
      </c>
      <c r="I14" t="s">
        <v>54</v>
      </c>
    </row>
    <row r="15" spans="1:9" x14ac:dyDescent="0.3">
      <c r="A15" s="1">
        <v>43569</v>
      </c>
      <c r="H15">
        <v>9.99</v>
      </c>
      <c r="I15" t="s">
        <v>55</v>
      </c>
    </row>
    <row r="16" spans="1:9" x14ac:dyDescent="0.3">
      <c r="A16" s="1">
        <v>43570</v>
      </c>
      <c r="C16">
        <f>SUM(14,10.5,13.2,29.1)</f>
        <v>66.800000000000011</v>
      </c>
    </row>
    <row r="17" spans="1:9" x14ac:dyDescent="0.3">
      <c r="A17" s="1">
        <v>43571</v>
      </c>
      <c r="F17">
        <v>59.99</v>
      </c>
      <c r="G17" t="s">
        <v>30</v>
      </c>
    </row>
    <row r="18" spans="1:9" x14ac:dyDescent="0.3">
      <c r="A18" s="1">
        <v>43572</v>
      </c>
      <c r="B18">
        <v>10.98</v>
      </c>
      <c r="C18">
        <v>29</v>
      </c>
    </row>
    <row r="19" spans="1:9" x14ac:dyDescent="0.3">
      <c r="A19" s="1">
        <v>43573</v>
      </c>
      <c r="B19">
        <v>5.89</v>
      </c>
      <c r="C19">
        <f>SUM(4.75,6.95)</f>
        <v>11.7</v>
      </c>
      <c r="F19">
        <v>6.99</v>
      </c>
      <c r="G19" t="s">
        <v>56</v>
      </c>
    </row>
    <row r="20" spans="1:9" x14ac:dyDescent="0.3">
      <c r="A20" s="1">
        <v>43574</v>
      </c>
      <c r="C20">
        <v>18.95</v>
      </c>
      <c r="F20">
        <v>52.72</v>
      </c>
      <c r="G20" t="s">
        <v>33</v>
      </c>
    </row>
    <row r="21" spans="1:9" x14ac:dyDescent="0.3">
      <c r="A21" s="1">
        <v>43575</v>
      </c>
      <c r="C21">
        <f>SUM(17.1,6)</f>
        <v>23.1</v>
      </c>
      <c r="D21">
        <v>5.98</v>
      </c>
    </row>
    <row r="22" spans="1:9" x14ac:dyDescent="0.3">
      <c r="A22" s="1">
        <v>43576</v>
      </c>
    </row>
    <row r="23" spans="1:9" x14ac:dyDescent="0.3">
      <c r="A23" s="1">
        <v>43577</v>
      </c>
      <c r="C23">
        <f>SUM(16.04,3.78,22.56,11,1.38)</f>
        <v>54.76</v>
      </c>
      <c r="D23">
        <v>5.49</v>
      </c>
    </row>
    <row r="24" spans="1:9" x14ac:dyDescent="0.3">
      <c r="A24" s="1">
        <v>43578</v>
      </c>
      <c r="C24">
        <f>SUM(12,4.5)</f>
        <v>16.5</v>
      </c>
    </row>
    <row r="25" spans="1:9" x14ac:dyDescent="0.3">
      <c r="A25" s="1">
        <v>43579</v>
      </c>
      <c r="C25">
        <f>SUM(15.5,4.75)</f>
        <v>20.25</v>
      </c>
    </row>
    <row r="26" spans="1:9" x14ac:dyDescent="0.3">
      <c r="A26" s="1">
        <v>43580</v>
      </c>
      <c r="B26">
        <v>15.1</v>
      </c>
      <c r="C26">
        <f>SUM(10.95)</f>
        <v>10.95</v>
      </c>
      <c r="E26">
        <v>9</v>
      </c>
    </row>
    <row r="27" spans="1:9" x14ac:dyDescent="0.3">
      <c r="A27" s="1">
        <v>43581</v>
      </c>
      <c r="B27">
        <f>SUM(27.1,6.98)</f>
        <v>34.08</v>
      </c>
      <c r="C27">
        <v>10.5</v>
      </c>
      <c r="H27">
        <v>26.98</v>
      </c>
      <c r="I27" t="s">
        <v>57</v>
      </c>
    </row>
    <row r="28" spans="1:9" x14ac:dyDescent="0.3">
      <c r="A28" s="1">
        <v>43582</v>
      </c>
      <c r="C28">
        <v>4</v>
      </c>
      <c r="E28">
        <f>SUM(2,7.5)</f>
        <v>9.5</v>
      </c>
    </row>
    <row r="29" spans="1:9" x14ac:dyDescent="0.3">
      <c r="A29" s="1">
        <v>43583</v>
      </c>
    </row>
    <row r="30" spans="1:9" x14ac:dyDescent="0.3">
      <c r="A30" s="1">
        <v>43584</v>
      </c>
      <c r="C30">
        <v>15.5</v>
      </c>
      <c r="D30">
        <v>4.5</v>
      </c>
    </row>
    <row r="31" spans="1:9" x14ac:dyDescent="0.3">
      <c r="A31" s="1">
        <v>43585</v>
      </c>
      <c r="B31">
        <v>9.98</v>
      </c>
      <c r="C31">
        <f>SUM(10.93,14.25,16.33)</f>
        <v>41.51</v>
      </c>
      <c r="H31">
        <v>50</v>
      </c>
      <c r="I31" t="s">
        <v>58</v>
      </c>
    </row>
    <row r="32" spans="1:9" x14ac:dyDescent="0.3">
      <c r="A32" s="1"/>
    </row>
    <row r="33" spans="1:8" x14ac:dyDescent="0.3">
      <c r="A33" t="s">
        <v>17</v>
      </c>
      <c r="B33">
        <f>SUM(B2:B31)</f>
        <v>241.67999999999992</v>
      </c>
      <c r="C33">
        <f t="shared" ref="C33:H33" si="0">SUM(C2:C31)</f>
        <v>507.13999999999993</v>
      </c>
      <c r="D33">
        <f t="shared" si="0"/>
        <v>21.46</v>
      </c>
      <c r="E33">
        <f t="shared" si="0"/>
        <v>75.28</v>
      </c>
      <c r="F33">
        <f t="shared" si="0"/>
        <v>699.69</v>
      </c>
      <c r="H33">
        <f t="shared" si="0"/>
        <v>213.59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6731-071C-454D-A716-13720204D0B9}">
  <dimension ref="A1:I37"/>
  <sheetViews>
    <sheetView workbookViewId="0">
      <selection activeCell="E16" sqref="E16"/>
    </sheetView>
  </sheetViews>
  <sheetFormatPr defaultRowHeight="14.4" x14ac:dyDescent="0.3"/>
  <cols>
    <col min="1" max="1" width="9.5546875" bestFit="1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43586</v>
      </c>
      <c r="C2">
        <v>2.59</v>
      </c>
      <c r="F2">
        <v>14.99</v>
      </c>
      <c r="G2" t="s">
        <v>35</v>
      </c>
    </row>
    <row r="3" spans="1:9" x14ac:dyDescent="0.3">
      <c r="A3" s="1">
        <v>43587</v>
      </c>
      <c r="B3">
        <v>5.89</v>
      </c>
      <c r="C3">
        <v>15.9</v>
      </c>
      <c r="D3">
        <v>9.2799999999999994</v>
      </c>
      <c r="E3">
        <v>3</v>
      </c>
      <c r="F3">
        <v>565</v>
      </c>
      <c r="G3" t="s">
        <v>32</v>
      </c>
    </row>
    <row r="4" spans="1:9" x14ac:dyDescent="0.3">
      <c r="A4" s="1">
        <v>43588</v>
      </c>
      <c r="B4">
        <f>SUM(5.98,20.55)</f>
        <v>26.53</v>
      </c>
      <c r="C4">
        <f>SUM(15.5,6.75)</f>
        <v>22.25</v>
      </c>
      <c r="H4">
        <v>9.98</v>
      </c>
      <c r="I4" t="s">
        <v>59</v>
      </c>
    </row>
    <row r="5" spans="1:9" x14ac:dyDescent="0.3">
      <c r="A5" s="1">
        <v>43589</v>
      </c>
      <c r="B5">
        <v>7.49</v>
      </c>
      <c r="C5">
        <v>7.5</v>
      </c>
      <c r="H5">
        <v>36</v>
      </c>
      <c r="I5" t="s">
        <v>60</v>
      </c>
    </row>
    <row r="6" spans="1:9" x14ac:dyDescent="0.3">
      <c r="A6" s="1">
        <v>43590</v>
      </c>
      <c r="H6">
        <v>1.99</v>
      </c>
      <c r="I6" t="s">
        <v>61</v>
      </c>
    </row>
    <row r="7" spans="1:9" x14ac:dyDescent="0.3">
      <c r="A7" s="1">
        <v>43591</v>
      </c>
      <c r="B7">
        <v>10.5</v>
      </c>
      <c r="H7">
        <v>25</v>
      </c>
      <c r="I7" t="s">
        <v>62</v>
      </c>
    </row>
    <row r="8" spans="1:9" x14ac:dyDescent="0.3">
      <c r="A8" s="1">
        <v>43592</v>
      </c>
      <c r="C8">
        <f>SUM(10.97,16.14)</f>
        <v>27.11</v>
      </c>
      <c r="E8">
        <v>6</v>
      </c>
      <c r="H8">
        <v>10.199999999999999</v>
      </c>
      <c r="I8" t="s">
        <v>22</v>
      </c>
    </row>
    <row r="9" spans="1:9" x14ac:dyDescent="0.3">
      <c r="A9" s="1">
        <v>43593</v>
      </c>
      <c r="C9">
        <f>SUM(14.5,4.5)</f>
        <v>19</v>
      </c>
      <c r="D9">
        <v>4.5</v>
      </c>
    </row>
    <row r="10" spans="1:9" x14ac:dyDescent="0.3">
      <c r="A10" s="1">
        <v>43594</v>
      </c>
      <c r="C10">
        <f>9.7</f>
        <v>9.6999999999999993</v>
      </c>
      <c r="H10">
        <v>72.33</v>
      </c>
      <c r="I10" t="s">
        <v>63</v>
      </c>
    </row>
    <row r="11" spans="1:9" x14ac:dyDescent="0.3">
      <c r="A11" s="1">
        <v>43595</v>
      </c>
      <c r="C11">
        <f>SUM(16.74,5.74)</f>
        <v>22.479999999999997</v>
      </c>
      <c r="D11">
        <v>7.98</v>
      </c>
      <c r="H11">
        <v>23</v>
      </c>
      <c r="I11" t="s">
        <v>64</v>
      </c>
    </row>
    <row r="12" spans="1:9" x14ac:dyDescent="0.3">
      <c r="A12" s="1"/>
      <c r="H12">
        <v>19.989999999999998</v>
      </c>
      <c r="I12" t="s">
        <v>29</v>
      </c>
    </row>
    <row r="13" spans="1:9" x14ac:dyDescent="0.3">
      <c r="A13" s="1">
        <v>43596</v>
      </c>
      <c r="B13">
        <v>30.11</v>
      </c>
      <c r="C13">
        <f>SUM(7.45,14.34)</f>
        <v>21.79</v>
      </c>
      <c r="H13">
        <f>SUM(4.98,4.68)</f>
        <v>9.66</v>
      </c>
      <c r="I13" t="s">
        <v>65</v>
      </c>
    </row>
    <row r="14" spans="1:9" x14ac:dyDescent="0.3">
      <c r="A14" s="1">
        <v>43597</v>
      </c>
    </row>
    <row r="15" spans="1:9" x14ac:dyDescent="0.3">
      <c r="A15" s="1">
        <v>43598</v>
      </c>
      <c r="B15">
        <f>SUM(3.09,34.9)</f>
        <v>37.989999999999995</v>
      </c>
      <c r="C15">
        <f>SUM(8.9,3.98,18.23,4,5.5)</f>
        <v>40.61</v>
      </c>
      <c r="E15">
        <v>45.4</v>
      </c>
    </row>
    <row r="16" spans="1:9" x14ac:dyDescent="0.3">
      <c r="A16" s="1">
        <v>43599</v>
      </c>
      <c r="D16">
        <v>7.68</v>
      </c>
      <c r="H16">
        <v>26.23</v>
      </c>
      <c r="I16" t="s">
        <v>66</v>
      </c>
    </row>
    <row r="17" spans="1:9" x14ac:dyDescent="0.3">
      <c r="A17" s="1">
        <v>43600</v>
      </c>
      <c r="C17">
        <v>36.5</v>
      </c>
      <c r="H17">
        <v>38.49</v>
      </c>
      <c r="I17" t="s">
        <v>67</v>
      </c>
    </row>
    <row r="18" spans="1:9" x14ac:dyDescent="0.3">
      <c r="A18" s="1">
        <v>43601</v>
      </c>
      <c r="C18">
        <v>10.5</v>
      </c>
    </row>
    <row r="19" spans="1:9" x14ac:dyDescent="0.3">
      <c r="A19" s="1">
        <v>43602</v>
      </c>
      <c r="B19">
        <v>27.11</v>
      </c>
      <c r="C19">
        <v>17.100000000000001</v>
      </c>
      <c r="E19">
        <v>12</v>
      </c>
    </row>
    <row r="20" spans="1:9" x14ac:dyDescent="0.3">
      <c r="A20" s="1">
        <v>43603</v>
      </c>
      <c r="B20">
        <v>28.43</v>
      </c>
      <c r="C20">
        <v>10.95</v>
      </c>
      <c r="D20">
        <v>5.49</v>
      </c>
      <c r="E20">
        <v>7.5</v>
      </c>
      <c r="H20">
        <v>6.99</v>
      </c>
      <c r="I20" t="s">
        <v>68</v>
      </c>
    </row>
    <row r="21" spans="1:9" x14ac:dyDescent="0.3">
      <c r="A21" s="1">
        <v>43604</v>
      </c>
      <c r="H21">
        <v>197.97</v>
      </c>
      <c r="I21" t="s">
        <v>69</v>
      </c>
    </row>
    <row r="22" spans="1:9" x14ac:dyDescent="0.3">
      <c r="A22" s="1">
        <v>43605</v>
      </c>
      <c r="C22">
        <f>SUM(10.7,10,5,7.5,15.1)</f>
        <v>48.300000000000004</v>
      </c>
      <c r="F22">
        <v>53.72</v>
      </c>
      <c r="G22" t="s">
        <v>45</v>
      </c>
      <c r="H22">
        <v>5</v>
      </c>
      <c r="I22" t="s">
        <v>70</v>
      </c>
    </row>
    <row r="23" spans="1:9" x14ac:dyDescent="0.3">
      <c r="A23" s="1"/>
      <c r="H23">
        <v>4.7</v>
      </c>
      <c r="I23" t="s">
        <v>71</v>
      </c>
    </row>
    <row r="24" spans="1:9" x14ac:dyDescent="0.3">
      <c r="A24" s="1"/>
      <c r="H24">
        <v>13.98</v>
      </c>
      <c r="I24" t="s">
        <v>72</v>
      </c>
    </row>
    <row r="25" spans="1:9" x14ac:dyDescent="0.3">
      <c r="A25" s="1">
        <v>43606</v>
      </c>
      <c r="C25">
        <v>2.39</v>
      </c>
      <c r="H25">
        <v>115</v>
      </c>
      <c r="I25" t="s">
        <v>50</v>
      </c>
    </row>
    <row r="26" spans="1:9" x14ac:dyDescent="0.3">
      <c r="A26" s="1">
        <v>43607</v>
      </c>
      <c r="C26">
        <f>SUM(15.54,10.5)</f>
        <v>26.04</v>
      </c>
      <c r="D26">
        <v>11.96</v>
      </c>
    </row>
    <row r="27" spans="1:9" x14ac:dyDescent="0.3">
      <c r="A27" s="1">
        <v>43608</v>
      </c>
      <c r="B27">
        <v>20.93</v>
      </c>
      <c r="C27">
        <v>3.75</v>
      </c>
      <c r="F27">
        <v>59.99</v>
      </c>
      <c r="G27" t="s">
        <v>30</v>
      </c>
      <c r="H27">
        <v>25.46</v>
      </c>
      <c r="I27" t="s">
        <v>73</v>
      </c>
    </row>
    <row r="28" spans="1:9" x14ac:dyDescent="0.3">
      <c r="A28" s="1">
        <v>43609</v>
      </c>
      <c r="C28">
        <v>15.5</v>
      </c>
      <c r="H28">
        <v>5.99</v>
      </c>
      <c r="I28" t="s">
        <v>74</v>
      </c>
    </row>
    <row r="29" spans="1:9" x14ac:dyDescent="0.3">
      <c r="A29" s="1">
        <v>43610</v>
      </c>
      <c r="B29">
        <v>9.3699999999999992</v>
      </c>
      <c r="C29">
        <v>11.95</v>
      </c>
      <c r="H29">
        <v>10</v>
      </c>
      <c r="I29" t="s">
        <v>75</v>
      </c>
    </row>
    <row r="30" spans="1:9" x14ac:dyDescent="0.3">
      <c r="A30" s="1">
        <v>43611</v>
      </c>
    </row>
    <row r="31" spans="1:9" x14ac:dyDescent="0.3">
      <c r="A31" s="1">
        <v>43612</v>
      </c>
      <c r="B31">
        <v>6.98</v>
      </c>
      <c r="C31">
        <v>4.75</v>
      </c>
      <c r="H31">
        <v>2.99</v>
      </c>
      <c r="I31" t="s">
        <v>76</v>
      </c>
    </row>
    <row r="32" spans="1:9" x14ac:dyDescent="0.3">
      <c r="A32" s="1">
        <v>43613</v>
      </c>
      <c r="B32">
        <f>SUM(5.89,11.28,2.05)</f>
        <v>19.22</v>
      </c>
      <c r="C32">
        <v>39.85</v>
      </c>
      <c r="D32">
        <v>8.2799999999999994</v>
      </c>
    </row>
    <row r="33" spans="1:9" x14ac:dyDescent="0.3">
      <c r="A33" s="1">
        <v>43614</v>
      </c>
      <c r="C33">
        <f>SUM(36,13.95,4.5,11.5,2.75)</f>
        <v>68.7</v>
      </c>
      <c r="D33">
        <f>SUM(5.49,5.49)</f>
        <v>10.98</v>
      </c>
      <c r="F33">
        <v>82.62</v>
      </c>
      <c r="G33" t="s">
        <v>78</v>
      </c>
      <c r="H33">
        <v>12.46</v>
      </c>
      <c r="I33" t="s">
        <v>77</v>
      </c>
    </row>
    <row r="34" spans="1:9" x14ac:dyDescent="0.3">
      <c r="A34" s="1">
        <v>43615</v>
      </c>
    </row>
    <row r="35" spans="1:9" x14ac:dyDescent="0.3">
      <c r="A35" s="1">
        <v>43616</v>
      </c>
    </row>
    <row r="36" spans="1:9" x14ac:dyDescent="0.3">
      <c r="A36" s="1"/>
    </row>
    <row r="37" spans="1:9" x14ac:dyDescent="0.3">
      <c r="A37" t="s">
        <v>17</v>
      </c>
      <c r="B37">
        <f>SUM(B2:B35)</f>
        <v>230.55</v>
      </c>
      <c r="C37">
        <f t="shared" ref="C37:H37" si="0">SUM(C2:C35)</f>
        <v>485.21000000000004</v>
      </c>
      <c r="D37">
        <f t="shared" si="0"/>
        <v>66.150000000000006</v>
      </c>
      <c r="E37">
        <f t="shared" si="0"/>
        <v>73.900000000000006</v>
      </c>
      <c r="F37">
        <f t="shared" si="0"/>
        <v>776.32</v>
      </c>
      <c r="H37">
        <f t="shared" si="0"/>
        <v>673.41000000000008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839A-3B93-4DE0-9A6E-F59AD64910FD}">
  <dimension ref="A1:I35"/>
  <sheetViews>
    <sheetView workbookViewId="0">
      <selection activeCell="I33" activeCellId="19" sqref="H8 I8 H13 I13 H16 I16 I17 H17 H23 I23 I25 H25 H26 H27 I26 I27 I28 H28 H33 I33"/>
    </sheetView>
  </sheetViews>
  <sheetFormatPr defaultRowHeight="14.4" x14ac:dyDescent="0.3"/>
  <cols>
    <col min="1" max="1" width="9.88671875" customWidth="1"/>
    <col min="7" max="7" width="9.88671875" customWidth="1"/>
    <col min="9" max="9" width="27.8867187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43617</v>
      </c>
      <c r="F2">
        <v>14.99</v>
      </c>
      <c r="G2" t="s">
        <v>35</v>
      </c>
    </row>
    <row r="3" spans="1:9" x14ac:dyDescent="0.3">
      <c r="A3" s="1">
        <v>43618</v>
      </c>
    </row>
    <row r="4" spans="1:9" x14ac:dyDescent="0.3">
      <c r="A4" s="1">
        <v>43619</v>
      </c>
      <c r="C4">
        <f>SUM(7.07,17.7,48.96,14.5)</f>
        <v>88.23</v>
      </c>
      <c r="D4">
        <v>10.98</v>
      </c>
    </row>
    <row r="5" spans="1:9" x14ac:dyDescent="0.3">
      <c r="A5" s="1">
        <v>43620</v>
      </c>
      <c r="B5">
        <v>25.1</v>
      </c>
    </row>
    <row r="6" spans="1:9" x14ac:dyDescent="0.3">
      <c r="A6" s="1">
        <v>43621</v>
      </c>
      <c r="C6">
        <v>27.48</v>
      </c>
      <c r="E6">
        <v>9</v>
      </c>
      <c r="F6">
        <v>565</v>
      </c>
      <c r="G6" t="s">
        <v>32</v>
      </c>
    </row>
    <row r="7" spans="1:9" x14ac:dyDescent="0.3">
      <c r="A7" s="1">
        <v>43622</v>
      </c>
      <c r="B7">
        <v>16.55</v>
      </c>
      <c r="H7">
        <v>19.95</v>
      </c>
      <c r="I7" t="s">
        <v>79</v>
      </c>
    </row>
    <row r="8" spans="1:9" x14ac:dyDescent="0.3">
      <c r="A8" s="1">
        <v>43623</v>
      </c>
      <c r="C8">
        <v>10.5</v>
      </c>
      <c r="E8">
        <v>3</v>
      </c>
      <c r="H8">
        <v>14.99</v>
      </c>
      <c r="I8" t="s">
        <v>81</v>
      </c>
    </row>
    <row r="9" spans="1:9" x14ac:dyDescent="0.3">
      <c r="A9" s="1"/>
      <c r="H9">
        <v>29.15</v>
      </c>
      <c r="I9" t="s">
        <v>82</v>
      </c>
    </row>
    <row r="10" spans="1:9" x14ac:dyDescent="0.3">
      <c r="A10" s="1">
        <v>43624</v>
      </c>
      <c r="C10">
        <v>14.5</v>
      </c>
    </row>
    <row r="11" spans="1:9" x14ac:dyDescent="0.3">
      <c r="A11" s="1">
        <v>43625</v>
      </c>
      <c r="C11">
        <v>49</v>
      </c>
    </row>
    <row r="12" spans="1:9" x14ac:dyDescent="0.3">
      <c r="A12" s="1">
        <v>43626</v>
      </c>
      <c r="C12">
        <f>SUM(17.1,14.5)</f>
        <v>31.6</v>
      </c>
      <c r="D12">
        <v>5.49</v>
      </c>
    </row>
    <row r="13" spans="1:9" x14ac:dyDescent="0.3">
      <c r="A13" s="1">
        <v>43627</v>
      </c>
      <c r="C13">
        <v>0</v>
      </c>
      <c r="D13">
        <v>8.2799999999999994</v>
      </c>
      <c r="H13">
        <v>6.02</v>
      </c>
      <c r="I13" t="s">
        <v>83</v>
      </c>
    </row>
    <row r="14" spans="1:9" x14ac:dyDescent="0.3">
      <c r="A14" s="1">
        <v>43628</v>
      </c>
      <c r="C14">
        <f>SUM(14.5,4.75,13.46)</f>
        <v>32.71</v>
      </c>
      <c r="H14">
        <v>41.46</v>
      </c>
      <c r="I14" t="s">
        <v>84</v>
      </c>
    </row>
    <row r="15" spans="1:9" x14ac:dyDescent="0.3">
      <c r="A15" s="1">
        <v>43629</v>
      </c>
      <c r="C15">
        <f>SUM(15.9,10.45)</f>
        <v>26.35</v>
      </c>
      <c r="H15">
        <v>72.33</v>
      </c>
      <c r="I15" t="s">
        <v>85</v>
      </c>
    </row>
    <row r="16" spans="1:9" x14ac:dyDescent="0.3">
      <c r="A16" s="1">
        <v>43630</v>
      </c>
      <c r="B16">
        <v>10.26</v>
      </c>
      <c r="H16">
        <v>4.99</v>
      </c>
      <c r="I16" t="s">
        <v>80</v>
      </c>
    </row>
    <row r="17" spans="1:9" x14ac:dyDescent="0.3">
      <c r="A17" s="1">
        <v>43631</v>
      </c>
      <c r="H17">
        <v>9.99</v>
      </c>
      <c r="I17" t="s">
        <v>80</v>
      </c>
    </row>
    <row r="18" spans="1:9" x14ac:dyDescent="0.3">
      <c r="A18" s="1">
        <v>43632</v>
      </c>
    </row>
    <row r="19" spans="1:9" x14ac:dyDescent="0.3">
      <c r="A19" s="1">
        <v>43633</v>
      </c>
      <c r="B19">
        <v>8.48</v>
      </c>
      <c r="C19">
        <f>SUM(15.5,2.79,36.5,17.1,15.5)</f>
        <v>87.39</v>
      </c>
      <c r="D19">
        <f>SUM(7.88,7.88)</f>
        <v>15.76</v>
      </c>
    </row>
    <row r="20" spans="1:9" x14ac:dyDescent="0.3">
      <c r="A20" s="1">
        <v>43634</v>
      </c>
      <c r="B20">
        <v>4.4800000000000004</v>
      </c>
      <c r="C20">
        <f>SUM(3.25,13.14)</f>
        <v>16.39</v>
      </c>
      <c r="F20">
        <v>6.99</v>
      </c>
      <c r="G20" t="s">
        <v>56</v>
      </c>
      <c r="H20">
        <v>30.77</v>
      </c>
      <c r="I20" t="s">
        <v>86</v>
      </c>
    </row>
    <row r="21" spans="1:9" x14ac:dyDescent="0.3">
      <c r="A21" s="1">
        <v>43635</v>
      </c>
      <c r="C21">
        <v>10.5</v>
      </c>
      <c r="D21">
        <v>5.28</v>
      </c>
      <c r="E21">
        <v>12</v>
      </c>
      <c r="F21">
        <v>53.17</v>
      </c>
      <c r="G21" t="s">
        <v>45</v>
      </c>
    </row>
    <row r="22" spans="1:9" x14ac:dyDescent="0.3">
      <c r="A22" s="1">
        <v>43636</v>
      </c>
      <c r="B22">
        <v>8.9700000000000006</v>
      </c>
      <c r="C22">
        <f>SUM(7.95,11.45)</f>
        <v>19.399999999999999</v>
      </c>
    </row>
    <row r="23" spans="1:9" x14ac:dyDescent="0.3">
      <c r="A23" s="1">
        <v>43637</v>
      </c>
      <c r="B23">
        <f>SUM(10.23,3.49)</f>
        <v>13.72</v>
      </c>
      <c r="C23">
        <v>15.47</v>
      </c>
      <c r="H23">
        <v>310.95999999999998</v>
      </c>
      <c r="I23" t="s">
        <v>92</v>
      </c>
    </row>
    <row r="24" spans="1:9" x14ac:dyDescent="0.3">
      <c r="A24" s="1">
        <v>43638</v>
      </c>
      <c r="B24">
        <v>81</v>
      </c>
      <c r="C24">
        <v>5</v>
      </c>
      <c r="H24">
        <v>4.41</v>
      </c>
      <c r="I24" t="s">
        <v>87</v>
      </c>
    </row>
    <row r="25" spans="1:9" x14ac:dyDescent="0.3">
      <c r="A25" s="1">
        <v>43639</v>
      </c>
      <c r="E25">
        <v>43.61</v>
      </c>
      <c r="H25">
        <v>86.66</v>
      </c>
      <c r="I25" t="s">
        <v>91</v>
      </c>
    </row>
    <row r="26" spans="1:9" x14ac:dyDescent="0.3">
      <c r="A26" s="1">
        <v>43640</v>
      </c>
      <c r="B26">
        <v>7.5</v>
      </c>
      <c r="C26">
        <f>SUM(23.96,10.5)</f>
        <v>34.46</v>
      </c>
      <c r="F26">
        <v>59.99</v>
      </c>
      <c r="G26" t="s">
        <v>95</v>
      </c>
      <c r="H26">
        <v>9.15</v>
      </c>
      <c r="I26" t="s">
        <v>80</v>
      </c>
    </row>
    <row r="27" spans="1:9" x14ac:dyDescent="0.3">
      <c r="A27" s="1">
        <v>43641</v>
      </c>
      <c r="H27">
        <v>1.88</v>
      </c>
      <c r="I27" t="s">
        <v>80</v>
      </c>
    </row>
    <row r="28" spans="1:9" x14ac:dyDescent="0.3">
      <c r="A28" s="1">
        <v>43642</v>
      </c>
      <c r="C28">
        <v>14.5</v>
      </c>
      <c r="E28">
        <v>12</v>
      </c>
      <c r="H28">
        <v>62.99</v>
      </c>
      <c r="I28" t="s">
        <v>93</v>
      </c>
    </row>
    <row r="29" spans="1:9" x14ac:dyDescent="0.3">
      <c r="A29" s="1">
        <v>43643</v>
      </c>
      <c r="B29">
        <f>SUM(12.33,6.98,3.49)</f>
        <v>22.800000000000004</v>
      </c>
      <c r="C29">
        <f>SUM(3.5,17.34)</f>
        <v>20.84</v>
      </c>
      <c r="H29">
        <v>82.99</v>
      </c>
      <c r="I29" t="s">
        <v>88</v>
      </c>
    </row>
    <row r="30" spans="1:9" x14ac:dyDescent="0.3">
      <c r="A30" s="1">
        <v>43644</v>
      </c>
      <c r="D30">
        <v>2.79</v>
      </c>
      <c r="H30">
        <v>4</v>
      </c>
      <c r="I30" t="s">
        <v>89</v>
      </c>
    </row>
    <row r="31" spans="1:9" x14ac:dyDescent="0.3">
      <c r="A31" s="1"/>
      <c r="H31">
        <v>5.98</v>
      </c>
      <c r="I31" t="s">
        <v>94</v>
      </c>
    </row>
    <row r="32" spans="1:9" x14ac:dyDescent="0.3">
      <c r="A32" s="1">
        <v>43645</v>
      </c>
      <c r="C32">
        <f>SUM(2.59,16.4,14.4)</f>
        <v>33.39</v>
      </c>
      <c r="H32">
        <v>11.23</v>
      </c>
      <c r="I32" t="s">
        <v>80</v>
      </c>
    </row>
    <row r="33" spans="1:9" x14ac:dyDescent="0.3">
      <c r="A33" s="1">
        <v>43646</v>
      </c>
      <c r="H33">
        <v>119</v>
      </c>
      <c r="I33" t="s">
        <v>90</v>
      </c>
    </row>
    <row r="34" spans="1:9" x14ac:dyDescent="0.3">
      <c r="A34" s="1"/>
      <c r="B34">
        <f t="shared" ref="B34:E34" si="0">SUM(B2:B32)</f>
        <v>198.86</v>
      </c>
      <c r="C34">
        <f t="shared" si="0"/>
        <v>537.70999999999992</v>
      </c>
      <c r="D34">
        <f t="shared" si="0"/>
        <v>48.58</v>
      </c>
      <c r="E34">
        <f t="shared" si="0"/>
        <v>79.61</v>
      </c>
      <c r="F34">
        <f>SUM(F2:F32)</f>
        <v>700.14</v>
      </c>
      <c r="G34">
        <f t="shared" ref="G34:H34" si="1">SUM(G2:G32)</f>
        <v>0</v>
      </c>
      <c r="H34">
        <f t="shared" si="1"/>
        <v>809.9</v>
      </c>
    </row>
    <row r="35" spans="1:9" x14ac:dyDescent="0.3">
      <c r="A3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06F-F881-4E34-BF73-6AA4C7A6967A}">
  <dimension ref="A1:I34"/>
  <sheetViews>
    <sheetView topLeftCell="A4" workbookViewId="0">
      <selection activeCell="I23" activeCellId="11" sqref="H9 I9 H10 H11 I11 I10 H18 I18 H22 I22 H23 I23"/>
    </sheetView>
  </sheetViews>
  <sheetFormatPr defaultRowHeight="14.4" x14ac:dyDescent="0.3"/>
  <cols>
    <col min="1" max="1" width="10.5546875" customWidth="1"/>
    <col min="7" max="7" width="11.44140625" customWidth="1"/>
    <col min="9" max="9" width="18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43647</v>
      </c>
      <c r="B2">
        <v>3.99</v>
      </c>
      <c r="C2">
        <f>SUM(19.25)</f>
        <v>19.25</v>
      </c>
      <c r="D2">
        <v>7.38</v>
      </c>
      <c r="F2">
        <v>14.99</v>
      </c>
      <c r="G2" t="s">
        <v>35</v>
      </c>
      <c r="H2">
        <v>3.99</v>
      </c>
      <c r="I2" t="s">
        <v>102</v>
      </c>
    </row>
    <row r="3" spans="1:9" x14ac:dyDescent="0.3">
      <c r="A3" s="1">
        <v>43648</v>
      </c>
      <c r="C3">
        <f>SUM(13.5,15.5,5.75)</f>
        <v>34.75</v>
      </c>
      <c r="F3">
        <v>2.04</v>
      </c>
      <c r="G3" t="s">
        <v>96</v>
      </c>
      <c r="H3">
        <v>12.99</v>
      </c>
      <c r="I3" t="s">
        <v>99</v>
      </c>
    </row>
    <row r="4" spans="1:9" x14ac:dyDescent="0.3">
      <c r="A4" s="1">
        <v>43649</v>
      </c>
      <c r="D4">
        <v>5.49</v>
      </c>
      <c r="F4">
        <v>565</v>
      </c>
      <c r="G4" t="s">
        <v>32</v>
      </c>
      <c r="H4">
        <v>2.99</v>
      </c>
      <c r="I4" t="s">
        <v>103</v>
      </c>
    </row>
    <row r="5" spans="1:9" x14ac:dyDescent="0.3">
      <c r="A5" s="1">
        <v>43650</v>
      </c>
      <c r="B5">
        <v>17.57</v>
      </c>
      <c r="C5">
        <f>SUM(9.5,8.95)</f>
        <v>18.45</v>
      </c>
      <c r="F5">
        <v>46.61</v>
      </c>
      <c r="G5" t="s">
        <v>97</v>
      </c>
      <c r="H5">
        <v>4.42</v>
      </c>
      <c r="I5" t="s">
        <v>104</v>
      </c>
    </row>
    <row r="6" spans="1:9" x14ac:dyDescent="0.3">
      <c r="A6" s="1">
        <v>43651</v>
      </c>
      <c r="H6">
        <v>12.49</v>
      </c>
      <c r="I6" t="s">
        <v>105</v>
      </c>
    </row>
    <row r="7" spans="1:9" x14ac:dyDescent="0.3">
      <c r="A7" s="1">
        <v>43652</v>
      </c>
      <c r="E7">
        <v>7.5</v>
      </c>
    </row>
    <row r="8" spans="1:9" x14ac:dyDescent="0.3">
      <c r="A8" s="1">
        <v>43653</v>
      </c>
    </row>
    <row r="9" spans="1:9" x14ac:dyDescent="0.3">
      <c r="A9" s="1">
        <v>43654</v>
      </c>
      <c r="B9">
        <f>SUM(11.64,15.96)</f>
        <v>27.6</v>
      </c>
      <c r="C9">
        <f>SUM(15.54,15.5)</f>
        <v>31.04</v>
      </c>
      <c r="D9">
        <v>7.98</v>
      </c>
      <c r="H9">
        <v>47.97</v>
      </c>
      <c r="I9" t="s">
        <v>106</v>
      </c>
    </row>
    <row r="10" spans="1:9" x14ac:dyDescent="0.3">
      <c r="A10" s="1">
        <v>43655</v>
      </c>
      <c r="C10">
        <v>13.7</v>
      </c>
      <c r="H10">
        <v>30.16</v>
      </c>
      <c r="I10" t="s">
        <v>107</v>
      </c>
    </row>
    <row r="11" spans="1:9" x14ac:dyDescent="0.3">
      <c r="A11" s="1">
        <v>43656</v>
      </c>
      <c r="B11">
        <v>4.99</v>
      </c>
      <c r="H11">
        <v>18.97</v>
      </c>
      <c r="I11" t="s">
        <v>107</v>
      </c>
    </row>
    <row r="12" spans="1:9" x14ac:dyDescent="0.3">
      <c r="A12" s="1">
        <v>43657</v>
      </c>
      <c r="B12">
        <v>3.49</v>
      </c>
      <c r="C12">
        <v>15.5</v>
      </c>
      <c r="H12">
        <v>5.35</v>
      </c>
      <c r="I12" t="s">
        <v>109</v>
      </c>
    </row>
    <row r="13" spans="1:9" x14ac:dyDescent="0.3">
      <c r="A13" s="1">
        <v>43658</v>
      </c>
      <c r="C13">
        <f>SUM(15.9,13.14)</f>
        <v>29.04</v>
      </c>
      <c r="H13">
        <v>13.99</v>
      </c>
      <c r="I13" t="s">
        <v>108</v>
      </c>
    </row>
    <row r="14" spans="1:9" x14ac:dyDescent="0.3">
      <c r="A14" s="1">
        <v>43659</v>
      </c>
      <c r="B14">
        <v>8.33</v>
      </c>
      <c r="C14">
        <v>27.6</v>
      </c>
      <c r="H14">
        <v>9.57</v>
      </c>
      <c r="I14" t="s">
        <v>110</v>
      </c>
    </row>
    <row r="15" spans="1:9" x14ac:dyDescent="0.3">
      <c r="A15" s="1">
        <v>43660</v>
      </c>
    </row>
    <row r="16" spans="1:9" x14ac:dyDescent="0.3">
      <c r="A16" s="1">
        <v>43661</v>
      </c>
      <c r="B16">
        <v>33.08</v>
      </c>
      <c r="C16">
        <v>15.5</v>
      </c>
      <c r="E16">
        <v>44.39</v>
      </c>
    </row>
    <row r="17" spans="1:9" x14ac:dyDescent="0.3">
      <c r="A17" s="1">
        <v>43662</v>
      </c>
      <c r="B17">
        <v>7.69</v>
      </c>
      <c r="C17">
        <f>SUM(5,15.5)</f>
        <v>20.5</v>
      </c>
      <c r="H17">
        <v>35.9</v>
      </c>
      <c r="I17" t="s">
        <v>111</v>
      </c>
    </row>
    <row r="18" spans="1:9" x14ac:dyDescent="0.3">
      <c r="A18" s="1">
        <v>43663</v>
      </c>
      <c r="C18">
        <f>SUM(15.54,12)</f>
        <v>27.54</v>
      </c>
      <c r="D18">
        <v>7.38</v>
      </c>
      <c r="H18">
        <v>19.989999999999998</v>
      </c>
      <c r="I18" t="s">
        <v>105</v>
      </c>
    </row>
    <row r="19" spans="1:9" x14ac:dyDescent="0.3">
      <c r="A19" s="1">
        <v>43664</v>
      </c>
      <c r="C19">
        <v>21.74</v>
      </c>
      <c r="D19">
        <v>27</v>
      </c>
      <c r="F19">
        <v>53.72</v>
      </c>
      <c r="G19" t="s">
        <v>45</v>
      </c>
    </row>
    <row r="20" spans="1:9" x14ac:dyDescent="0.3">
      <c r="A20" s="1">
        <v>43665</v>
      </c>
      <c r="C20">
        <v>3.25</v>
      </c>
      <c r="F20">
        <v>6.99</v>
      </c>
      <c r="G20" t="s">
        <v>56</v>
      </c>
      <c r="H20">
        <v>3.5</v>
      </c>
      <c r="I20" t="s">
        <v>112</v>
      </c>
    </row>
    <row r="21" spans="1:9" x14ac:dyDescent="0.3">
      <c r="A21" s="1">
        <v>43666</v>
      </c>
      <c r="H21">
        <v>72.33</v>
      </c>
      <c r="I21" t="s">
        <v>63</v>
      </c>
    </row>
    <row r="22" spans="1:9" x14ac:dyDescent="0.3">
      <c r="A22" s="1">
        <v>43667</v>
      </c>
      <c r="H22">
        <v>209.99</v>
      </c>
      <c r="I22" t="s">
        <v>106</v>
      </c>
    </row>
    <row r="23" spans="1:9" x14ac:dyDescent="0.3">
      <c r="A23" s="1">
        <v>43668</v>
      </c>
      <c r="C23">
        <f>SUM(8.75,15,10.2)</f>
        <v>33.950000000000003</v>
      </c>
      <c r="D23">
        <v>7.89</v>
      </c>
      <c r="H23">
        <v>282.89999999999998</v>
      </c>
      <c r="I23" t="s">
        <v>113</v>
      </c>
    </row>
    <row r="24" spans="1:9" x14ac:dyDescent="0.3">
      <c r="A24" s="1">
        <v>43669</v>
      </c>
      <c r="B24">
        <v>34.380000000000003</v>
      </c>
      <c r="C24">
        <v>16.75</v>
      </c>
      <c r="F24">
        <v>59.99</v>
      </c>
      <c r="G24" t="s">
        <v>30</v>
      </c>
      <c r="H24">
        <v>27.9</v>
      </c>
      <c r="I24" t="s">
        <v>114</v>
      </c>
    </row>
    <row r="25" spans="1:9" x14ac:dyDescent="0.3">
      <c r="A25" s="1">
        <v>43670</v>
      </c>
      <c r="B25">
        <v>3.49</v>
      </c>
      <c r="C25">
        <v>15.5</v>
      </c>
    </row>
    <row r="26" spans="1:9" x14ac:dyDescent="0.3">
      <c r="A26" s="1">
        <v>43671</v>
      </c>
      <c r="B26">
        <v>8.48</v>
      </c>
      <c r="C26">
        <v>4</v>
      </c>
    </row>
    <row r="27" spans="1:9" x14ac:dyDescent="0.3">
      <c r="A27" s="1">
        <v>43672</v>
      </c>
      <c r="C27">
        <f>SUM(10.5,14.34,7)</f>
        <v>31.84</v>
      </c>
    </row>
    <row r="28" spans="1:9" x14ac:dyDescent="0.3">
      <c r="A28" s="1">
        <v>43673</v>
      </c>
      <c r="B28">
        <v>3.49</v>
      </c>
      <c r="C28">
        <f>SUM(5.75,4.75,2.5)</f>
        <v>13</v>
      </c>
    </row>
    <row r="29" spans="1:9" x14ac:dyDescent="0.3">
      <c r="A29" s="1">
        <v>43674</v>
      </c>
    </row>
    <row r="30" spans="1:9" x14ac:dyDescent="0.3">
      <c r="A30" s="1">
        <v>43675</v>
      </c>
      <c r="B30">
        <f>SUM(2.49,8.33)</f>
        <v>10.82</v>
      </c>
      <c r="C30">
        <f>SUM(10.5,17.1)</f>
        <v>27.6</v>
      </c>
      <c r="D30">
        <v>5.49</v>
      </c>
    </row>
    <row r="31" spans="1:9" x14ac:dyDescent="0.3">
      <c r="A31" s="1">
        <v>43676</v>
      </c>
      <c r="C31">
        <v>6</v>
      </c>
    </row>
    <row r="32" spans="1:9" x14ac:dyDescent="0.3">
      <c r="A32" s="1">
        <v>43677</v>
      </c>
      <c r="C32">
        <v>12.54</v>
      </c>
    </row>
    <row r="34" spans="1:8" x14ac:dyDescent="0.3">
      <c r="A34" t="s">
        <v>17</v>
      </c>
      <c r="B34">
        <f t="shared" ref="B34:F34" si="0">SUM(B2:B32)</f>
        <v>167.4</v>
      </c>
      <c r="C34">
        <f t="shared" si="0"/>
        <v>439.03999999999996</v>
      </c>
      <c r="D34">
        <f t="shared" si="0"/>
        <v>68.61</v>
      </c>
      <c r="E34">
        <f t="shared" si="0"/>
        <v>51.89</v>
      </c>
      <c r="F34">
        <f t="shared" si="0"/>
        <v>749.34</v>
      </c>
      <c r="H34">
        <f>SUM(H2:H32)</f>
        <v>815.4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76C3-F8D4-4DCF-90F2-5EE3B172BBCE}">
  <dimension ref="A1:I34"/>
  <sheetViews>
    <sheetView workbookViewId="0">
      <selection activeCell="G21" sqref="G21"/>
    </sheetView>
  </sheetViews>
  <sheetFormatPr defaultRowHeight="14.4" x14ac:dyDescent="0.3"/>
  <cols>
    <col min="1" max="1" width="12.33203125" customWidth="1"/>
    <col min="7" max="7" width="18.109375" customWidth="1"/>
    <col min="9" max="9" width="18.44140625" bestFit="1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43678</v>
      </c>
      <c r="C2">
        <v>10.199999999999999</v>
      </c>
    </row>
    <row r="3" spans="1:9" x14ac:dyDescent="0.3">
      <c r="A3" s="1">
        <v>43679</v>
      </c>
      <c r="C3">
        <v>16</v>
      </c>
      <c r="F3">
        <v>12.99</v>
      </c>
      <c r="G3" t="s">
        <v>99</v>
      </c>
      <c r="H3">
        <v>2.99</v>
      </c>
      <c r="I3" t="s">
        <v>100</v>
      </c>
    </row>
    <row r="4" spans="1:9" x14ac:dyDescent="0.3">
      <c r="A4" s="1">
        <v>43680</v>
      </c>
      <c r="C4">
        <f>SUM(17.1,10.5)</f>
        <v>27.6</v>
      </c>
      <c r="H4">
        <v>72.33</v>
      </c>
      <c r="I4" t="s">
        <v>63</v>
      </c>
    </row>
    <row r="5" spans="1:9" x14ac:dyDescent="0.3">
      <c r="A5" s="1">
        <v>43681</v>
      </c>
    </row>
    <row r="6" spans="1:9" x14ac:dyDescent="0.3">
      <c r="A6" s="1">
        <v>43682</v>
      </c>
      <c r="B6">
        <v>4.99</v>
      </c>
      <c r="C6">
        <f>SUM(9.5,8.95)</f>
        <v>18.45</v>
      </c>
      <c r="D6">
        <v>15</v>
      </c>
      <c r="F6">
        <v>615</v>
      </c>
      <c r="G6" t="s">
        <v>98</v>
      </c>
    </row>
    <row r="7" spans="1:9" x14ac:dyDescent="0.3">
      <c r="A7" s="1">
        <v>43683</v>
      </c>
      <c r="C7">
        <v>7.14</v>
      </c>
    </row>
    <row r="8" spans="1:9" x14ac:dyDescent="0.3">
      <c r="A8" s="1">
        <v>43684</v>
      </c>
      <c r="B8">
        <v>13.96</v>
      </c>
      <c r="C8">
        <f>SUM(3,44,20.5)</f>
        <v>67.5</v>
      </c>
      <c r="H8">
        <v>46.99</v>
      </c>
      <c r="I8" t="s">
        <v>101</v>
      </c>
    </row>
    <row r="9" spans="1:9" x14ac:dyDescent="0.3">
      <c r="A9" s="1">
        <v>43685</v>
      </c>
      <c r="C9">
        <f>SUM(3,8.95,15.5)</f>
        <v>27.45</v>
      </c>
      <c r="H9">
        <v>177.1</v>
      </c>
      <c r="I9" t="s">
        <v>115</v>
      </c>
    </row>
    <row r="10" spans="1:9" x14ac:dyDescent="0.3">
      <c r="A10" s="1">
        <v>43686</v>
      </c>
      <c r="H10">
        <v>30</v>
      </c>
      <c r="I10" t="s">
        <v>116</v>
      </c>
    </row>
    <row r="11" spans="1:9" x14ac:dyDescent="0.3">
      <c r="A11" s="1">
        <v>43687</v>
      </c>
      <c r="B11">
        <v>2.99</v>
      </c>
      <c r="C11">
        <f>SUM(3,10.5)</f>
        <v>13.5</v>
      </c>
      <c r="D11">
        <v>20</v>
      </c>
      <c r="H11">
        <v>10.6</v>
      </c>
      <c r="I11" t="s">
        <v>105</v>
      </c>
    </row>
    <row r="12" spans="1:9" x14ac:dyDescent="0.3">
      <c r="A12" s="1">
        <v>43688</v>
      </c>
    </row>
    <row r="13" spans="1:9" x14ac:dyDescent="0.3">
      <c r="A13" s="1">
        <v>43689</v>
      </c>
      <c r="C13">
        <f>SUM(6.75,16,20,23.45)</f>
        <v>66.2</v>
      </c>
      <c r="D13">
        <f>SUM(4.68,8.19)</f>
        <v>12.87</v>
      </c>
      <c r="H13">
        <v>5.35</v>
      </c>
      <c r="I13" t="s">
        <v>109</v>
      </c>
    </row>
    <row r="14" spans="1:9" x14ac:dyDescent="0.3">
      <c r="A14" s="1">
        <v>43690</v>
      </c>
      <c r="C14">
        <v>13.14</v>
      </c>
    </row>
    <row r="15" spans="1:9" x14ac:dyDescent="0.3">
      <c r="A15" s="1">
        <v>43691</v>
      </c>
      <c r="C15">
        <f>SUM(10.73,15.5)</f>
        <v>26.23</v>
      </c>
      <c r="D15">
        <f>SUM(5.49,9)</f>
        <v>14.49</v>
      </c>
    </row>
    <row r="16" spans="1:9" x14ac:dyDescent="0.3">
      <c r="A16" s="1">
        <v>43692</v>
      </c>
      <c r="B16">
        <v>10.73</v>
      </c>
    </row>
    <row r="17" spans="1:9" x14ac:dyDescent="0.3">
      <c r="A17" s="1">
        <v>43693</v>
      </c>
      <c r="C17">
        <f>SUM(10.5,15.54,10.25)</f>
        <v>36.29</v>
      </c>
    </row>
    <row r="18" spans="1:9" x14ac:dyDescent="0.3">
      <c r="A18" s="1">
        <v>43694</v>
      </c>
      <c r="C18">
        <v>14.93</v>
      </c>
      <c r="D18">
        <v>20</v>
      </c>
      <c r="F18">
        <v>41.46</v>
      </c>
      <c r="G18" t="s">
        <v>118</v>
      </c>
      <c r="H18">
        <v>40</v>
      </c>
      <c r="I18" t="s">
        <v>117</v>
      </c>
    </row>
    <row r="19" spans="1:9" x14ac:dyDescent="0.3">
      <c r="A19" s="1">
        <v>43695</v>
      </c>
    </row>
    <row r="20" spans="1:9" x14ac:dyDescent="0.3">
      <c r="A20" s="1">
        <v>43696</v>
      </c>
      <c r="C20">
        <f>SUM(20,10.5,8.95,10.5)</f>
        <v>49.95</v>
      </c>
      <c r="D20">
        <f>SUM(9,3)</f>
        <v>12</v>
      </c>
      <c r="E20">
        <v>43.41</v>
      </c>
      <c r="F20">
        <v>6.99</v>
      </c>
      <c r="G20" t="s">
        <v>56</v>
      </c>
      <c r="H20">
        <v>32</v>
      </c>
      <c r="I20" t="s">
        <v>119</v>
      </c>
    </row>
    <row r="21" spans="1:9" x14ac:dyDescent="0.3">
      <c r="A21" s="1">
        <v>43697</v>
      </c>
      <c r="C21">
        <v>19.14</v>
      </c>
      <c r="E21">
        <v>12</v>
      </c>
      <c r="F21">
        <v>46.84</v>
      </c>
      <c r="G21" t="s">
        <v>45</v>
      </c>
    </row>
    <row r="22" spans="1:9" x14ac:dyDescent="0.3">
      <c r="A22" s="1">
        <v>43698</v>
      </c>
      <c r="C22">
        <f>SUM(10.5,13.73,3.65)</f>
        <v>27.88</v>
      </c>
      <c r="E22">
        <v>12</v>
      </c>
      <c r="H22">
        <v>29.99</v>
      </c>
      <c r="I22" t="s">
        <v>120</v>
      </c>
    </row>
    <row r="23" spans="1:9" x14ac:dyDescent="0.3">
      <c r="A23" s="1">
        <v>43699</v>
      </c>
      <c r="B23">
        <f>SUM(7.6,7.34)</f>
        <v>14.94</v>
      </c>
      <c r="C23">
        <f>SUM(13.14,10.94)</f>
        <v>24.08</v>
      </c>
      <c r="E23">
        <v>12</v>
      </c>
      <c r="F23">
        <v>495</v>
      </c>
      <c r="G23" t="s">
        <v>121</v>
      </c>
      <c r="H23">
        <v>16</v>
      </c>
      <c r="I23" t="s">
        <v>124</v>
      </c>
    </row>
    <row r="24" spans="1:9" x14ac:dyDescent="0.3">
      <c r="A24" s="1">
        <v>43700</v>
      </c>
      <c r="E24">
        <v>13.5</v>
      </c>
      <c r="F24">
        <v>59.99</v>
      </c>
      <c r="G24" t="s">
        <v>144</v>
      </c>
    </row>
    <row r="25" spans="1:9" x14ac:dyDescent="0.3">
      <c r="A25" s="1">
        <v>43701</v>
      </c>
      <c r="B25">
        <v>7.34</v>
      </c>
    </row>
    <row r="26" spans="1:9" x14ac:dyDescent="0.3">
      <c r="A26" s="1">
        <v>43702</v>
      </c>
    </row>
    <row r="27" spans="1:9" x14ac:dyDescent="0.3">
      <c r="A27" s="1">
        <v>43703</v>
      </c>
      <c r="C27">
        <v>10.5</v>
      </c>
      <c r="H27">
        <v>40</v>
      </c>
      <c r="I27" t="s">
        <v>122</v>
      </c>
    </row>
    <row r="28" spans="1:9" x14ac:dyDescent="0.3">
      <c r="A28" s="1">
        <v>43704</v>
      </c>
      <c r="H28">
        <v>10</v>
      </c>
      <c r="I28" t="s">
        <v>123</v>
      </c>
    </row>
    <row r="29" spans="1:9" x14ac:dyDescent="0.3">
      <c r="A29" s="1">
        <v>43705</v>
      </c>
      <c r="H29">
        <v>91.8</v>
      </c>
      <c r="I29" t="s">
        <v>125</v>
      </c>
    </row>
    <row r="30" spans="1:9" x14ac:dyDescent="0.3">
      <c r="A30" s="1">
        <v>43706</v>
      </c>
      <c r="C30">
        <v>14.5</v>
      </c>
    </row>
    <row r="31" spans="1:9" x14ac:dyDescent="0.3">
      <c r="A31" s="1">
        <v>43707</v>
      </c>
      <c r="E31">
        <v>2.25</v>
      </c>
      <c r="H31">
        <v>49.95</v>
      </c>
      <c r="I31" t="s">
        <v>126</v>
      </c>
    </row>
    <row r="32" spans="1:9" x14ac:dyDescent="0.3">
      <c r="A32" s="1">
        <v>43708</v>
      </c>
    </row>
    <row r="34" spans="1:8" x14ac:dyDescent="0.3">
      <c r="A34" t="s">
        <v>17</v>
      </c>
      <c r="B34">
        <f>SUM(B2:B32)</f>
        <v>54.95</v>
      </c>
      <c r="C34">
        <f t="shared" ref="C34:H34" si="0">SUM(C2:C32)</f>
        <v>490.67999999999995</v>
      </c>
      <c r="D34">
        <f t="shared" si="0"/>
        <v>94.36</v>
      </c>
      <c r="E34">
        <f t="shared" si="0"/>
        <v>95.16</v>
      </c>
      <c r="F34">
        <f t="shared" si="0"/>
        <v>1278.2700000000002</v>
      </c>
      <c r="H34">
        <f t="shared" si="0"/>
        <v>655.1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FF22-2DF4-4619-8161-5B33B51E226E}">
  <dimension ref="A1:I33"/>
  <sheetViews>
    <sheetView workbookViewId="0">
      <selection activeCell="I4" sqref="I4"/>
    </sheetView>
  </sheetViews>
  <sheetFormatPr defaultRowHeight="14.4" x14ac:dyDescent="0.3"/>
  <cols>
    <col min="1" max="1" width="9.88671875" customWidth="1"/>
    <col min="7" max="7" width="12.6640625" bestFit="1" customWidth="1"/>
    <col min="9" max="9" width="18.6640625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43709</v>
      </c>
      <c r="F2">
        <v>14.99</v>
      </c>
      <c r="G2" t="s">
        <v>35</v>
      </c>
    </row>
    <row r="3" spans="1:9" x14ac:dyDescent="0.3">
      <c r="A3" s="1">
        <v>43710</v>
      </c>
      <c r="F3">
        <v>12.99</v>
      </c>
      <c r="G3" t="s">
        <v>99</v>
      </c>
    </row>
    <row r="4" spans="1:9" x14ac:dyDescent="0.3">
      <c r="A4" s="1">
        <v>43711</v>
      </c>
      <c r="F4">
        <v>2.5</v>
      </c>
      <c r="G4" t="s">
        <v>127</v>
      </c>
      <c r="H4">
        <v>89</v>
      </c>
      <c r="I4" t="s">
        <v>143</v>
      </c>
    </row>
    <row r="5" spans="1:9" x14ac:dyDescent="0.3">
      <c r="A5" s="1">
        <v>43712</v>
      </c>
      <c r="B5">
        <v>14.83</v>
      </c>
      <c r="C5">
        <v>20</v>
      </c>
    </row>
    <row r="6" spans="1:9" x14ac:dyDescent="0.3">
      <c r="A6" s="1">
        <v>43713</v>
      </c>
    </row>
    <row r="7" spans="1:9" x14ac:dyDescent="0.3">
      <c r="A7" s="1">
        <v>43714</v>
      </c>
      <c r="E7">
        <v>42.06</v>
      </c>
    </row>
    <row r="8" spans="1:9" x14ac:dyDescent="0.3">
      <c r="A8" s="1">
        <v>43715</v>
      </c>
      <c r="B8">
        <v>18.399999999999999</v>
      </c>
      <c r="C8">
        <v>17.399999999999999</v>
      </c>
      <c r="H8">
        <v>1.5</v>
      </c>
      <c r="I8" t="s">
        <v>22</v>
      </c>
    </row>
    <row r="9" spans="1:9" x14ac:dyDescent="0.3">
      <c r="A9" s="1">
        <v>43716</v>
      </c>
    </row>
    <row r="10" spans="1:9" x14ac:dyDescent="0.3">
      <c r="A10" s="1">
        <v>43717</v>
      </c>
      <c r="C10">
        <v>18.75</v>
      </c>
    </row>
    <row r="11" spans="1:9" x14ac:dyDescent="0.3">
      <c r="A11" s="1">
        <v>43718</v>
      </c>
      <c r="B11">
        <v>23.28</v>
      </c>
      <c r="C11">
        <v>13.15</v>
      </c>
    </row>
    <row r="12" spans="1:9" x14ac:dyDescent="0.3">
      <c r="A12" s="1">
        <v>43719</v>
      </c>
      <c r="C12">
        <v>2.75</v>
      </c>
    </row>
    <row r="13" spans="1:9" x14ac:dyDescent="0.3">
      <c r="A13" s="1">
        <v>43720</v>
      </c>
      <c r="B13">
        <v>3.99</v>
      </c>
      <c r="H13">
        <v>5.35</v>
      </c>
      <c r="I13" t="s">
        <v>109</v>
      </c>
    </row>
    <row r="14" spans="1:9" x14ac:dyDescent="0.3">
      <c r="A14" s="1">
        <v>43721</v>
      </c>
    </row>
    <row r="15" spans="1:9" x14ac:dyDescent="0.3">
      <c r="A15" s="1">
        <v>43722</v>
      </c>
    </row>
    <row r="16" spans="1:9" x14ac:dyDescent="0.3">
      <c r="A16" s="1">
        <v>43723</v>
      </c>
      <c r="C16">
        <v>12</v>
      </c>
    </row>
    <row r="17" spans="1:9" x14ac:dyDescent="0.3">
      <c r="A17" s="1">
        <v>43724</v>
      </c>
      <c r="C17">
        <v>24.5</v>
      </c>
      <c r="F17">
        <v>495</v>
      </c>
      <c r="G17" t="s">
        <v>129</v>
      </c>
      <c r="H17">
        <v>70</v>
      </c>
      <c r="I17" t="s">
        <v>128</v>
      </c>
    </row>
    <row r="18" spans="1:9" x14ac:dyDescent="0.3">
      <c r="A18" s="1">
        <v>43725</v>
      </c>
      <c r="C18">
        <v>14.34</v>
      </c>
      <c r="F18">
        <v>40</v>
      </c>
      <c r="G18" t="s">
        <v>117</v>
      </c>
      <c r="H18">
        <v>84.25</v>
      </c>
      <c r="I18" t="s">
        <v>130</v>
      </c>
    </row>
    <row r="19" spans="1:9" x14ac:dyDescent="0.3">
      <c r="A19" s="1">
        <v>43726</v>
      </c>
      <c r="C19">
        <v>9.3800000000000008</v>
      </c>
      <c r="F19">
        <v>6.99</v>
      </c>
      <c r="G19" t="s">
        <v>132</v>
      </c>
      <c r="H19">
        <v>64.180000000000007</v>
      </c>
      <c r="I19" t="s">
        <v>131</v>
      </c>
    </row>
    <row r="20" spans="1:9" x14ac:dyDescent="0.3">
      <c r="A20" s="1">
        <v>43727</v>
      </c>
      <c r="F20">
        <v>46.84</v>
      </c>
      <c r="G20" t="s">
        <v>45</v>
      </c>
      <c r="H20">
        <v>25</v>
      </c>
      <c r="I20" t="s">
        <v>133</v>
      </c>
    </row>
    <row r="21" spans="1:9" x14ac:dyDescent="0.3">
      <c r="A21" s="1">
        <v>43728</v>
      </c>
    </row>
    <row r="22" spans="1:9" x14ac:dyDescent="0.3">
      <c r="A22" s="1">
        <v>43729</v>
      </c>
      <c r="C22">
        <v>14.5</v>
      </c>
    </row>
    <row r="23" spans="1:9" x14ac:dyDescent="0.3">
      <c r="A23" s="1">
        <v>43730</v>
      </c>
    </row>
    <row r="24" spans="1:9" x14ac:dyDescent="0.3">
      <c r="A24" s="1">
        <v>43731</v>
      </c>
      <c r="B24">
        <v>32.72</v>
      </c>
    </row>
    <row r="25" spans="1:9" x14ac:dyDescent="0.3">
      <c r="A25" s="1">
        <v>43732</v>
      </c>
    </row>
    <row r="26" spans="1:9" x14ac:dyDescent="0.3">
      <c r="A26" s="1">
        <v>43733</v>
      </c>
      <c r="C26">
        <v>10.5</v>
      </c>
      <c r="E26">
        <v>2</v>
      </c>
    </row>
    <row r="27" spans="1:9" x14ac:dyDescent="0.3">
      <c r="A27" s="1">
        <v>43734</v>
      </c>
      <c r="H27">
        <v>218</v>
      </c>
      <c r="I27" t="s">
        <v>134</v>
      </c>
    </row>
    <row r="28" spans="1:9" x14ac:dyDescent="0.3">
      <c r="A28" s="1">
        <v>43735</v>
      </c>
      <c r="C28">
        <v>10.95</v>
      </c>
      <c r="E28">
        <v>94.3</v>
      </c>
    </row>
    <row r="29" spans="1:9" x14ac:dyDescent="0.3">
      <c r="A29" s="1">
        <v>43736</v>
      </c>
      <c r="C29">
        <v>10.5</v>
      </c>
    </row>
    <row r="30" spans="1:9" x14ac:dyDescent="0.3">
      <c r="A30" s="1">
        <v>43737</v>
      </c>
      <c r="B30">
        <v>11.27</v>
      </c>
    </row>
    <row r="31" spans="1:9" x14ac:dyDescent="0.3">
      <c r="A31" s="1">
        <v>43738</v>
      </c>
      <c r="B31">
        <v>15.13</v>
      </c>
      <c r="C31">
        <v>8</v>
      </c>
    </row>
    <row r="32" spans="1:9" x14ac:dyDescent="0.3">
      <c r="A32" s="1"/>
    </row>
    <row r="33" spans="1:8" x14ac:dyDescent="0.3">
      <c r="A33" t="s">
        <v>17</v>
      </c>
      <c r="B33">
        <f t="shared" ref="B33:E33" si="0">SUM(B2:B31)</f>
        <v>119.61999999999999</v>
      </c>
      <c r="C33">
        <f t="shared" si="0"/>
        <v>186.72</v>
      </c>
      <c r="D33">
        <f t="shared" si="0"/>
        <v>0</v>
      </c>
      <c r="E33">
        <f t="shared" si="0"/>
        <v>138.36000000000001</v>
      </c>
      <c r="F33">
        <f>SUM(F2:F31)</f>
        <v>619.31000000000006</v>
      </c>
      <c r="G33">
        <f t="shared" ref="G33:H33" si="1">SUM(G2:G31)</f>
        <v>0</v>
      </c>
      <c r="H33">
        <f t="shared" si="1"/>
        <v>557.28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8239-E7F0-4773-AF8E-C4BF37274C68}">
  <dimension ref="A1:I34"/>
  <sheetViews>
    <sheetView tabSelected="1" workbookViewId="0">
      <selection activeCell="G24" sqref="G24"/>
    </sheetView>
  </sheetViews>
  <sheetFormatPr defaultRowHeight="14.4" x14ac:dyDescent="0.3"/>
  <cols>
    <col min="1" max="1" width="11.33203125" customWidth="1"/>
    <col min="7" max="7" width="17.21875" bestFit="1" customWidth="1"/>
    <col min="9" max="9" width="24.109375" bestFit="1" customWidth="1"/>
  </cols>
  <sheetData>
    <row r="1" spans="1:9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9" x14ac:dyDescent="0.3">
      <c r="A2" s="1">
        <v>43739</v>
      </c>
      <c r="B2">
        <v>3.79</v>
      </c>
      <c r="F2">
        <v>14.99</v>
      </c>
      <c r="G2" t="s">
        <v>35</v>
      </c>
      <c r="H2">
        <v>318.99</v>
      </c>
      <c r="I2" t="s">
        <v>135</v>
      </c>
    </row>
    <row r="3" spans="1:9" x14ac:dyDescent="0.3">
      <c r="A3" s="1">
        <v>43740</v>
      </c>
      <c r="C3">
        <v>11.5</v>
      </c>
      <c r="E3">
        <v>2</v>
      </c>
      <c r="F3">
        <v>12.99</v>
      </c>
      <c r="G3" t="s">
        <v>99</v>
      </c>
    </row>
    <row r="4" spans="1:9" x14ac:dyDescent="0.3">
      <c r="A4" s="1">
        <v>43741</v>
      </c>
      <c r="B4">
        <v>4.38</v>
      </c>
      <c r="F4">
        <v>2.5</v>
      </c>
      <c r="G4" t="s">
        <v>100</v>
      </c>
      <c r="H4">
        <v>7.49</v>
      </c>
      <c r="I4" t="s">
        <v>136</v>
      </c>
    </row>
    <row r="5" spans="1:9" x14ac:dyDescent="0.3">
      <c r="A5" s="1">
        <v>43742</v>
      </c>
      <c r="B5">
        <v>50.87</v>
      </c>
      <c r="H5">
        <v>32.5</v>
      </c>
      <c r="I5" t="s">
        <v>137</v>
      </c>
    </row>
    <row r="6" spans="1:9" x14ac:dyDescent="0.3">
      <c r="A6" s="1">
        <v>43743</v>
      </c>
      <c r="C6">
        <v>3.25</v>
      </c>
      <c r="H6">
        <v>24.95</v>
      </c>
      <c r="I6" t="s">
        <v>73</v>
      </c>
    </row>
    <row r="7" spans="1:9" x14ac:dyDescent="0.3">
      <c r="A7" s="1">
        <v>43744</v>
      </c>
      <c r="C7">
        <v>7.5</v>
      </c>
      <c r="D7">
        <v>5</v>
      </c>
      <c r="H7">
        <v>12.48</v>
      </c>
      <c r="I7" t="s">
        <v>138</v>
      </c>
    </row>
    <row r="8" spans="1:9" x14ac:dyDescent="0.3">
      <c r="A8" s="1">
        <v>43745</v>
      </c>
      <c r="H8">
        <v>10.78</v>
      </c>
    </row>
    <row r="9" spans="1:9" x14ac:dyDescent="0.3">
      <c r="A9" s="1">
        <v>43746</v>
      </c>
      <c r="H9">
        <v>10</v>
      </c>
      <c r="I9" t="s">
        <v>139</v>
      </c>
    </row>
    <row r="10" spans="1:9" x14ac:dyDescent="0.3">
      <c r="A10" s="1">
        <v>43747</v>
      </c>
      <c r="C10">
        <v>10.5</v>
      </c>
      <c r="E10">
        <v>2</v>
      </c>
      <c r="H10">
        <v>1.05</v>
      </c>
      <c r="I10" t="s">
        <v>140</v>
      </c>
    </row>
    <row r="11" spans="1:9" x14ac:dyDescent="0.3">
      <c r="A11" s="1">
        <v>43748</v>
      </c>
      <c r="B11">
        <v>7.25</v>
      </c>
      <c r="C11">
        <v>3.25</v>
      </c>
      <c r="H11">
        <v>163</v>
      </c>
      <c r="I11" t="s">
        <v>50</v>
      </c>
    </row>
    <row r="12" spans="1:9" x14ac:dyDescent="0.3">
      <c r="A12" s="1">
        <v>43749</v>
      </c>
      <c r="C12">
        <v>16.14</v>
      </c>
      <c r="D12">
        <v>17.22</v>
      </c>
    </row>
    <row r="13" spans="1:9" x14ac:dyDescent="0.3">
      <c r="A13" s="1">
        <v>43750</v>
      </c>
      <c r="C13">
        <v>25</v>
      </c>
      <c r="F13">
        <v>5.35</v>
      </c>
      <c r="G13" t="s">
        <v>109</v>
      </c>
      <c r="H13">
        <v>73</v>
      </c>
      <c r="I13" t="s">
        <v>141</v>
      </c>
    </row>
    <row r="14" spans="1:9" x14ac:dyDescent="0.3">
      <c r="A14" s="1">
        <v>43751</v>
      </c>
    </row>
    <row r="15" spans="1:9" x14ac:dyDescent="0.3">
      <c r="A15" s="1">
        <v>43752</v>
      </c>
      <c r="D15">
        <v>2.4900000000000002</v>
      </c>
    </row>
    <row r="16" spans="1:9" x14ac:dyDescent="0.3">
      <c r="A16" s="1">
        <v>43753</v>
      </c>
      <c r="B16">
        <v>12.74</v>
      </c>
      <c r="C16">
        <v>12</v>
      </c>
    </row>
    <row r="17" spans="1:9" x14ac:dyDescent="0.3">
      <c r="A17" s="1">
        <v>43754</v>
      </c>
      <c r="C17">
        <f>SUM(3.29,15.6)</f>
        <v>18.89</v>
      </c>
      <c r="F17">
        <v>495</v>
      </c>
      <c r="G17" t="s">
        <v>129</v>
      </c>
      <c r="H17">
        <v>25</v>
      </c>
      <c r="I17" t="s">
        <v>142</v>
      </c>
    </row>
    <row r="18" spans="1:9" x14ac:dyDescent="0.3">
      <c r="A18" s="1">
        <v>43755</v>
      </c>
      <c r="C18">
        <v>1</v>
      </c>
      <c r="F18">
        <v>40</v>
      </c>
      <c r="G18" t="s">
        <v>117</v>
      </c>
    </row>
    <row r="19" spans="1:9" x14ac:dyDescent="0.3">
      <c r="A19" s="1">
        <v>43756</v>
      </c>
      <c r="B19">
        <v>33.33</v>
      </c>
      <c r="C19">
        <v>17</v>
      </c>
      <c r="F19">
        <v>6.99</v>
      </c>
      <c r="G19" t="s">
        <v>56</v>
      </c>
    </row>
    <row r="20" spans="1:9" x14ac:dyDescent="0.3">
      <c r="A20" s="1">
        <v>43757</v>
      </c>
      <c r="F20">
        <v>46.84</v>
      </c>
      <c r="G20" t="s">
        <v>45</v>
      </c>
    </row>
    <row r="21" spans="1:9" x14ac:dyDescent="0.3">
      <c r="A21" s="1">
        <v>43758</v>
      </c>
    </row>
    <row r="22" spans="1:9" x14ac:dyDescent="0.3">
      <c r="A22" s="1">
        <v>43759</v>
      </c>
    </row>
    <row r="23" spans="1:9" x14ac:dyDescent="0.3">
      <c r="A23" s="1">
        <v>43760</v>
      </c>
    </row>
    <row r="24" spans="1:9" x14ac:dyDescent="0.3">
      <c r="A24" s="1">
        <v>43761</v>
      </c>
    </row>
    <row r="25" spans="1:9" x14ac:dyDescent="0.3">
      <c r="A25" s="1">
        <v>43762</v>
      </c>
    </row>
    <row r="26" spans="1:9" x14ac:dyDescent="0.3">
      <c r="A26" s="1">
        <v>43763</v>
      </c>
    </row>
    <row r="27" spans="1:9" x14ac:dyDescent="0.3">
      <c r="A27" s="1">
        <v>43764</v>
      </c>
    </row>
    <row r="28" spans="1:9" x14ac:dyDescent="0.3">
      <c r="A28" s="1">
        <v>43765</v>
      </c>
    </row>
    <row r="29" spans="1:9" x14ac:dyDescent="0.3">
      <c r="A29" s="1">
        <v>43766</v>
      </c>
    </row>
    <row r="30" spans="1:9" x14ac:dyDescent="0.3">
      <c r="A30" s="1">
        <v>43767</v>
      </c>
    </row>
    <row r="31" spans="1:9" x14ac:dyDescent="0.3">
      <c r="A31" s="1">
        <v>43768</v>
      </c>
    </row>
    <row r="32" spans="1:9" x14ac:dyDescent="0.3">
      <c r="A32" s="1">
        <v>43769</v>
      </c>
    </row>
    <row r="34" spans="1:8" x14ac:dyDescent="0.3">
      <c r="A34" t="s">
        <v>17</v>
      </c>
      <c r="B34">
        <f>SUM(B5:B32)</f>
        <v>104.19</v>
      </c>
      <c r="C34">
        <f t="shared" ref="C34:H34" si="0">SUM(C5:C32)</f>
        <v>114.53</v>
      </c>
      <c r="D34">
        <f t="shared" si="0"/>
        <v>24.71</v>
      </c>
      <c r="E34">
        <f t="shared" si="0"/>
        <v>2</v>
      </c>
      <c r="F34">
        <f t="shared" si="0"/>
        <v>594.18000000000006</v>
      </c>
      <c r="H34">
        <f t="shared" si="0"/>
        <v>352.76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124-532B-41FB-9CCB-941B3AC66AF3}">
  <dimension ref="A1:H33"/>
  <sheetViews>
    <sheetView topLeftCell="A6" workbookViewId="0">
      <selection activeCell="A33" sqref="A33:XFD33"/>
    </sheetView>
  </sheetViews>
  <sheetFormatPr defaultRowHeight="14.4" x14ac:dyDescent="0.3"/>
  <cols>
    <col min="1" max="1" width="10.8867187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43770</v>
      </c>
    </row>
    <row r="3" spans="1:8" x14ac:dyDescent="0.3">
      <c r="A3" s="1">
        <v>43771</v>
      </c>
    </row>
    <row r="4" spans="1:8" x14ac:dyDescent="0.3">
      <c r="A4" s="1">
        <v>43772</v>
      </c>
    </row>
    <row r="5" spans="1:8" x14ac:dyDescent="0.3">
      <c r="A5" s="1">
        <v>43773</v>
      </c>
    </row>
    <row r="6" spans="1:8" x14ac:dyDescent="0.3">
      <c r="A6" s="1">
        <v>43774</v>
      </c>
    </row>
    <row r="7" spans="1:8" x14ac:dyDescent="0.3">
      <c r="A7" s="1">
        <v>43775</v>
      </c>
    </row>
    <row r="8" spans="1:8" x14ac:dyDescent="0.3">
      <c r="A8" s="1">
        <v>43776</v>
      </c>
    </row>
    <row r="9" spans="1:8" x14ac:dyDescent="0.3">
      <c r="A9" s="1">
        <v>43777</v>
      </c>
    </row>
    <row r="10" spans="1:8" x14ac:dyDescent="0.3">
      <c r="A10" s="1">
        <v>43778</v>
      </c>
    </row>
    <row r="11" spans="1:8" x14ac:dyDescent="0.3">
      <c r="A11" s="1">
        <v>43779</v>
      </c>
    </row>
    <row r="12" spans="1:8" x14ac:dyDescent="0.3">
      <c r="A12" s="1">
        <v>43780</v>
      </c>
    </row>
    <row r="13" spans="1:8" x14ac:dyDescent="0.3">
      <c r="A13" s="1">
        <v>43781</v>
      </c>
    </row>
    <row r="14" spans="1:8" x14ac:dyDescent="0.3">
      <c r="A14" s="1">
        <v>43782</v>
      </c>
    </row>
    <row r="15" spans="1:8" x14ac:dyDescent="0.3">
      <c r="A15" s="1">
        <v>43783</v>
      </c>
    </row>
    <row r="16" spans="1:8" x14ac:dyDescent="0.3">
      <c r="A16" s="1">
        <v>43784</v>
      </c>
    </row>
    <row r="17" spans="1:1" x14ac:dyDescent="0.3">
      <c r="A17" s="1">
        <v>43785</v>
      </c>
    </row>
    <row r="18" spans="1:1" x14ac:dyDescent="0.3">
      <c r="A18" s="1">
        <v>43786</v>
      </c>
    </row>
    <row r="19" spans="1:1" x14ac:dyDescent="0.3">
      <c r="A19" s="1">
        <v>43787</v>
      </c>
    </row>
    <row r="20" spans="1:1" x14ac:dyDescent="0.3">
      <c r="A20" s="1">
        <v>43788</v>
      </c>
    </row>
    <row r="21" spans="1:1" x14ac:dyDescent="0.3">
      <c r="A21" s="1">
        <v>43789</v>
      </c>
    </row>
    <row r="22" spans="1:1" x14ac:dyDescent="0.3">
      <c r="A22" s="1">
        <v>43790</v>
      </c>
    </row>
    <row r="23" spans="1:1" x14ac:dyDescent="0.3">
      <c r="A23" s="1">
        <v>43791</v>
      </c>
    </row>
    <row r="24" spans="1:1" x14ac:dyDescent="0.3">
      <c r="A24" s="1">
        <v>43792</v>
      </c>
    </row>
    <row r="25" spans="1:1" x14ac:dyDescent="0.3">
      <c r="A25" s="1">
        <v>43793</v>
      </c>
    </row>
    <row r="26" spans="1:1" x14ac:dyDescent="0.3">
      <c r="A26" s="1">
        <v>43794</v>
      </c>
    </row>
    <row r="27" spans="1:1" x14ac:dyDescent="0.3">
      <c r="A27" s="1">
        <v>43795</v>
      </c>
    </row>
    <row r="28" spans="1:1" x14ac:dyDescent="0.3">
      <c r="A28" s="1">
        <v>43796</v>
      </c>
    </row>
    <row r="29" spans="1:1" x14ac:dyDescent="0.3">
      <c r="A29" s="1">
        <v>43797</v>
      </c>
    </row>
    <row r="30" spans="1:1" x14ac:dyDescent="0.3">
      <c r="A30" s="1">
        <v>43798</v>
      </c>
    </row>
    <row r="31" spans="1:1" x14ac:dyDescent="0.3">
      <c r="A31" s="1">
        <v>43799</v>
      </c>
    </row>
    <row r="32" spans="1:1" x14ac:dyDescent="0.3">
      <c r="A32" s="1"/>
    </row>
    <row r="33" spans="1:8" x14ac:dyDescent="0.3">
      <c r="A33" t="s">
        <v>17</v>
      </c>
      <c r="B33">
        <f>SUM(B4:B31)</f>
        <v>0</v>
      </c>
      <c r="C33">
        <f t="shared" ref="C33:H33" si="0">SUM(C4:C31)</f>
        <v>0</v>
      </c>
      <c r="D33">
        <f t="shared" si="0"/>
        <v>0</v>
      </c>
      <c r="E33">
        <f t="shared" si="0"/>
        <v>0</v>
      </c>
      <c r="F33">
        <f t="shared" si="0"/>
        <v>0</v>
      </c>
      <c r="H33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DB24B-7C85-455E-BA09-1965B0389F58}">
  <dimension ref="A1:H34"/>
  <sheetViews>
    <sheetView topLeftCell="A13" workbookViewId="0">
      <selection activeCell="A34" sqref="A34:XFD34"/>
    </sheetView>
  </sheetViews>
  <sheetFormatPr defaultRowHeight="14.4" x14ac:dyDescent="0.3"/>
  <cols>
    <col min="1" max="1" width="12.33203125" customWidth="1"/>
  </cols>
  <sheetData>
    <row r="1" spans="1:8" x14ac:dyDescent="0.3">
      <c r="B1" t="s">
        <v>12</v>
      </c>
      <c r="C1" t="s">
        <v>13</v>
      </c>
      <c r="D1" t="s">
        <v>18</v>
      </c>
      <c r="E1" t="s">
        <v>14</v>
      </c>
      <c r="F1" t="s">
        <v>15</v>
      </c>
      <c r="H1" t="s">
        <v>16</v>
      </c>
    </row>
    <row r="2" spans="1:8" x14ac:dyDescent="0.3">
      <c r="A2" s="1">
        <v>43800</v>
      </c>
    </row>
    <row r="3" spans="1:8" x14ac:dyDescent="0.3">
      <c r="A3" s="1">
        <v>43801</v>
      </c>
    </row>
    <row r="4" spans="1:8" x14ac:dyDescent="0.3">
      <c r="A4" s="1">
        <v>43802</v>
      </c>
    </row>
    <row r="5" spans="1:8" x14ac:dyDescent="0.3">
      <c r="A5" s="1">
        <v>43803</v>
      </c>
    </row>
    <row r="6" spans="1:8" x14ac:dyDescent="0.3">
      <c r="A6" s="1">
        <v>43804</v>
      </c>
    </row>
    <row r="7" spans="1:8" x14ac:dyDescent="0.3">
      <c r="A7" s="1">
        <v>43805</v>
      </c>
    </row>
    <row r="8" spans="1:8" x14ac:dyDescent="0.3">
      <c r="A8" s="1">
        <v>43806</v>
      </c>
    </row>
    <row r="9" spans="1:8" x14ac:dyDescent="0.3">
      <c r="A9" s="1">
        <v>43807</v>
      </c>
    </row>
    <row r="10" spans="1:8" x14ac:dyDescent="0.3">
      <c r="A10" s="1">
        <v>43808</v>
      </c>
    </row>
    <row r="11" spans="1:8" x14ac:dyDescent="0.3">
      <c r="A11" s="1">
        <v>43809</v>
      </c>
    </row>
    <row r="12" spans="1:8" x14ac:dyDescent="0.3">
      <c r="A12" s="1">
        <v>43810</v>
      </c>
    </row>
    <row r="13" spans="1:8" x14ac:dyDescent="0.3">
      <c r="A13" s="1">
        <v>43811</v>
      </c>
    </row>
    <row r="14" spans="1:8" x14ac:dyDescent="0.3">
      <c r="A14" s="1">
        <v>43812</v>
      </c>
    </row>
    <row r="15" spans="1:8" x14ac:dyDescent="0.3">
      <c r="A15" s="1">
        <v>43813</v>
      </c>
    </row>
    <row r="16" spans="1:8" x14ac:dyDescent="0.3">
      <c r="A16" s="1">
        <v>43814</v>
      </c>
    </row>
    <row r="17" spans="1:1" x14ac:dyDescent="0.3">
      <c r="A17" s="1">
        <v>43815</v>
      </c>
    </row>
    <row r="18" spans="1:1" x14ac:dyDescent="0.3">
      <c r="A18" s="1">
        <v>43816</v>
      </c>
    </row>
    <row r="19" spans="1:1" x14ac:dyDescent="0.3">
      <c r="A19" s="1">
        <v>43817</v>
      </c>
    </row>
    <row r="20" spans="1:1" x14ac:dyDescent="0.3">
      <c r="A20" s="1">
        <v>43818</v>
      </c>
    </row>
    <row r="21" spans="1:1" x14ac:dyDescent="0.3">
      <c r="A21" s="1">
        <v>43819</v>
      </c>
    </row>
    <row r="22" spans="1:1" x14ac:dyDescent="0.3">
      <c r="A22" s="1">
        <v>43820</v>
      </c>
    </row>
    <row r="23" spans="1:1" x14ac:dyDescent="0.3">
      <c r="A23" s="1">
        <v>43821</v>
      </c>
    </row>
    <row r="24" spans="1:1" x14ac:dyDescent="0.3">
      <c r="A24" s="1">
        <v>43822</v>
      </c>
    </row>
    <row r="25" spans="1:1" x14ac:dyDescent="0.3">
      <c r="A25" s="1">
        <v>43823</v>
      </c>
    </row>
    <row r="26" spans="1:1" x14ac:dyDescent="0.3">
      <c r="A26" s="1">
        <v>43824</v>
      </c>
    </row>
    <row r="27" spans="1:1" x14ac:dyDescent="0.3">
      <c r="A27" s="1">
        <v>43825</v>
      </c>
    </row>
    <row r="28" spans="1:1" x14ac:dyDescent="0.3">
      <c r="A28" s="1">
        <v>43826</v>
      </c>
    </row>
    <row r="29" spans="1:1" x14ac:dyDescent="0.3">
      <c r="A29" s="1">
        <v>43827</v>
      </c>
    </row>
    <row r="30" spans="1:1" x14ac:dyDescent="0.3">
      <c r="A30" s="1">
        <v>43828</v>
      </c>
    </row>
    <row r="31" spans="1:1" x14ac:dyDescent="0.3">
      <c r="A31" s="1">
        <v>43829</v>
      </c>
    </row>
    <row r="32" spans="1:1" x14ac:dyDescent="0.3">
      <c r="A32" s="1">
        <v>43830</v>
      </c>
    </row>
    <row r="34" spans="1:8" x14ac:dyDescent="0.3">
      <c r="A34" t="s">
        <v>17</v>
      </c>
      <c r="B34">
        <f>SUM(B5:B32)</f>
        <v>0</v>
      </c>
      <c r="C34">
        <f t="shared" ref="C34:H34" si="0">SUM(C5:C32)</f>
        <v>0</v>
      </c>
      <c r="D34">
        <f t="shared" si="0"/>
        <v>0</v>
      </c>
      <c r="E34">
        <f t="shared" si="0"/>
        <v>0</v>
      </c>
      <c r="F34">
        <f t="shared" si="0"/>
        <v>0</v>
      </c>
      <c r="H34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47B1-9420-4FC2-8543-F1830AEDC699}">
  <dimension ref="A1"/>
  <sheetViews>
    <sheetView workbookViewId="0"/>
  </sheetViews>
  <sheetFormatPr defaultRowHeight="14.4" x14ac:dyDescent="0.3"/>
  <sheetData>
    <row r="1" spans="1:1" x14ac:dyDescent="0.3">
      <c r="A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Christensen</dc:creator>
  <cp:lastModifiedBy>Kevin Christensen</cp:lastModifiedBy>
  <dcterms:created xsi:type="dcterms:W3CDTF">2018-11-30T18:15:43Z</dcterms:created>
  <dcterms:modified xsi:type="dcterms:W3CDTF">2019-10-20T00:44:07Z</dcterms:modified>
</cp:coreProperties>
</file>