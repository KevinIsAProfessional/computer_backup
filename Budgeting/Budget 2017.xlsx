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Christensen\Documents\Budgeting\"/>
    </mc:Choice>
  </mc:AlternateContent>
  <xr:revisionPtr revIDLastSave="0" documentId="13_ncr:1_{4F510D03-04E1-47D8-8786-33D05D09308B}" xr6:coauthVersionLast="36" xr6:coauthVersionMax="36" xr10:uidLastSave="{00000000-0000-0000-0000-000000000000}"/>
  <bookViews>
    <workbookView xWindow="0" yWindow="0" windowWidth="17256" windowHeight="5652" firstSheet="1" activeTab="5" xr2:uid="{0656B5F8-0B70-4E21-921D-5E34E02F5C01}"/>
  </bookViews>
  <sheets>
    <sheet name="Year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8" i="6" l="1"/>
  <c r="B26" i="6"/>
  <c r="C26" i="6"/>
  <c r="C2" i="6"/>
  <c r="F33" i="5"/>
  <c r="E33" i="5"/>
  <c r="C30" i="5"/>
  <c r="C11" i="5"/>
  <c r="H34" i="4"/>
  <c r="F34" i="4"/>
  <c r="C32" i="4"/>
  <c r="C14" i="4"/>
  <c r="C12" i="4"/>
  <c r="B7" i="2"/>
  <c r="C28" i="2"/>
  <c r="C30" i="12" l="1"/>
  <c r="C19" i="11"/>
  <c r="B16" i="11"/>
  <c r="H21" i="9"/>
  <c r="C16" i="8"/>
  <c r="E16" i="8"/>
  <c r="B14" i="8"/>
  <c r="C13" i="8"/>
  <c r="C27" i="7"/>
  <c r="E27" i="7"/>
  <c r="C26" i="7"/>
  <c r="C7" i="6"/>
  <c r="B7" i="6"/>
  <c r="C4" i="6"/>
  <c r="D7" i="1" l="1"/>
  <c r="D9" i="1"/>
  <c r="E9" i="1"/>
  <c r="D13" i="1"/>
  <c r="E13" i="1"/>
  <c r="H34" i="13"/>
  <c r="G13" i="1" s="1"/>
  <c r="F34" i="13"/>
  <c r="F13" i="1" s="1"/>
  <c r="E34" i="13"/>
  <c r="D34" i="13"/>
  <c r="C34" i="13"/>
  <c r="C13" i="1" s="1"/>
  <c r="B34" i="13"/>
  <c r="B13" i="1" s="1"/>
  <c r="H33" i="12"/>
  <c r="G12" i="1" s="1"/>
  <c r="F33" i="12"/>
  <c r="F12" i="1" s="1"/>
  <c r="E33" i="12"/>
  <c r="E12" i="1" s="1"/>
  <c r="D33" i="12"/>
  <c r="D12" i="1" s="1"/>
  <c r="C33" i="12"/>
  <c r="C12" i="1" s="1"/>
  <c r="B33" i="12"/>
  <c r="B12" i="1" s="1"/>
  <c r="H34" i="11"/>
  <c r="G11" i="1" s="1"/>
  <c r="F34" i="11"/>
  <c r="F11" i="1" s="1"/>
  <c r="E34" i="11"/>
  <c r="E11" i="1" s="1"/>
  <c r="D34" i="11"/>
  <c r="D11" i="1" s="1"/>
  <c r="C34" i="11"/>
  <c r="C11" i="1" s="1"/>
  <c r="B34" i="11"/>
  <c r="B11" i="1" s="1"/>
  <c r="H33" i="10"/>
  <c r="G10" i="1" s="1"/>
  <c r="F33" i="10"/>
  <c r="F10" i="1" s="1"/>
  <c r="E33" i="10"/>
  <c r="E10" i="1" s="1"/>
  <c r="D33" i="10"/>
  <c r="D10" i="1" s="1"/>
  <c r="C33" i="10"/>
  <c r="C10" i="1" s="1"/>
  <c r="B33" i="10"/>
  <c r="B10" i="1" s="1"/>
  <c r="H34" i="9"/>
  <c r="G9" i="1" s="1"/>
  <c r="F34" i="9"/>
  <c r="F9" i="1" s="1"/>
  <c r="E34" i="9"/>
  <c r="D34" i="9"/>
  <c r="C34" i="9"/>
  <c r="C9" i="1" s="1"/>
  <c r="B34" i="9"/>
  <c r="B9" i="1" s="1"/>
  <c r="H34" i="8"/>
  <c r="G8" i="1" s="1"/>
  <c r="F34" i="8"/>
  <c r="F8" i="1" s="1"/>
  <c r="E34" i="8"/>
  <c r="E8" i="1" s="1"/>
  <c r="D34" i="8"/>
  <c r="D8" i="1" s="1"/>
  <c r="C34" i="8"/>
  <c r="C8" i="1" s="1"/>
  <c r="B34" i="8"/>
  <c r="B8" i="1" s="1"/>
  <c r="H33" i="7"/>
  <c r="G7" i="1" s="1"/>
  <c r="F33" i="7"/>
  <c r="F7" i="1" s="1"/>
  <c r="E33" i="7"/>
  <c r="E7" i="1" s="1"/>
  <c r="D33" i="7"/>
  <c r="C33" i="7"/>
  <c r="C7" i="1" s="1"/>
  <c r="B33" i="7"/>
  <c r="B7" i="1" s="1"/>
  <c r="H38" i="6"/>
  <c r="G6" i="1" s="1"/>
  <c r="F38" i="6"/>
  <c r="F6" i="1" s="1"/>
  <c r="E38" i="6"/>
  <c r="E6" i="1" s="1"/>
  <c r="D38" i="6"/>
  <c r="D6" i="1" s="1"/>
  <c r="C38" i="6"/>
  <c r="C6" i="1" s="1"/>
  <c r="B38" i="6"/>
  <c r="B6" i="1" s="1"/>
  <c r="H33" i="5"/>
  <c r="G5" i="1" s="1"/>
  <c r="F5" i="1"/>
  <c r="E5" i="1"/>
  <c r="D33" i="5"/>
  <c r="D5" i="1" s="1"/>
  <c r="C33" i="5"/>
  <c r="C5" i="1" s="1"/>
  <c r="B33" i="5"/>
  <c r="B5" i="1" s="1"/>
  <c r="G4" i="1"/>
  <c r="F4" i="1"/>
  <c r="E34" i="4"/>
  <c r="E4" i="1" s="1"/>
  <c r="D34" i="4"/>
  <c r="D4" i="1" s="1"/>
  <c r="C34" i="4"/>
  <c r="C4" i="1" s="1"/>
  <c r="B34" i="4"/>
  <c r="B4" i="1" s="1"/>
  <c r="C31" i="3"/>
  <c r="C3" i="1" s="1"/>
  <c r="D31" i="3"/>
  <c r="D3" i="1" s="1"/>
  <c r="E31" i="3"/>
  <c r="E3" i="1" s="1"/>
  <c r="F31" i="3"/>
  <c r="F3" i="1" s="1"/>
  <c r="H31" i="3"/>
  <c r="G3" i="1" s="1"/>
  <c r="B31" i="3"/>
  <c r="B3" i="1" s="1"/>
  <c r="C34" i="2"/>
  <c r="C2" i="1" s="1"/>
  <c r="D34" i="2"/>
  <c r="D2" i="1" s="1"/>
  <c r="E34" i="2"/>
  <c r="E2" i="1" s="1"/>
  <c r="F34" i="2"/>
  <c r="F2" i="1" s="1"/>
  <c r="H34" i="2"/>
  <c r="G2" i="1" s="1"/>
  <c r="B34" i="2"/>
  <c r="B2" i="1" s="1"/>
  <c r="I10" i="1" l="1"/>
  <c r="I9" i="1"/>
  <c r="E15" i="1"/>
  <c r="I6" i="1"/>
  <c r="G15" i="1"/>
  <c r="I5" i="1"/>
  <c r="D15" i="1"/>
  <c r="I13" i="1"/>
  <c r="I7" i="1"/>
  <c r="I12" i="1"/>
  <c r="F15" i="1"/>
  <c r="I4" i="1"/>
  <c r="C15" i="1"/>
  <c r="I2" i="1"/>
  <c r="B15" i="1"/>
  <c r="I8" i="1"/>
  <c r="I11" i="1"/>
  <c r="I3" i="1"/>
  <c r="I15" i="1" l="1"/>
</calcChain>
</file>

<file path=xl/sharedStrings.xml><?xml version="1.0" encoding="utf-8"?>
<sst xmlns="http://schemas.openxmlformats.org/spreadsheetml/2006/main" count="177" uniqueCount="67">
  <si>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</si>
  <si>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</si>
  <si>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</si>
  <si>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</si>
  <si>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</si>
  <si>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</si>
  <si>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</si>
  <si>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</si>
  <si>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</si>
  <si>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</si>
  <si>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</si>
  <si>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</si>
  <si>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Groceries</t>
  </si>
  <si>
    <t>Eating Out</t>
  </si>
  <si>
    <t>Car</t>
  </si>
  <si>
    <t>Bills</t>
  </si>
  <si>
    <t>Other</t>
  </si>
  <si>
    <t>Totals</t>
  </si>
  <si>
    <t>Drugs</t>
  </si>
  <si>
    <t>D</t>
  </si>
  <si>
    <t>Spotify</t>
  </si>
  <si>
    <t>Climbing</t>
  </si>
  <si>
    <t>Ticket</t>
  </si>
  <si>
    <t>Towing</t>
  </si>
  <si>
    <t>Firefighting supplies</t>
  </si>
  <si>
    <t>?</t>
  </si>
  <si>
    <t>New Zealand Ticket</t>
  </si>
  <si>
    <t>Kindle Book</t>
  </si>
  <si>
    <t>Camera</t>
  </si>
  <si>
    <t>Movie</t>
  </si>
  <si>
    <t>Pants</t>
  </si>
  <si>
    <t>Book</t>
  </si>
  <si>
    <t>Something for Bailey</t>
  </si>
  <si>
    <t>Climbing Gear</t>
  </si>
  <si>
    <t>Vancouver metro pass</t>
  </si>
  <si>
    <t>Career Services test</t>
  </si>
  <si>
    <t>Rent</t>
  </si>
  <si>
    <t>Insoles</t>
  </si>
  <si>
    <t>CVS Drugs</t>
  </si>
  <si>
    <t>Boot punch</t>
  </si>
  <si>
    <t>ATM Withdrawl</t>
  </si>
  <si>
    <t>Something</t>
  </si>
  <si>
    <t>Walmart</t>
  </si>
  <si>
    <t>Uber</t>
  </si>
  <si>
    <t>TaxSlayer</t>
  </si>
  <si>
    <t>Phone Bill</t>
  </si>
  <si>
    <t>Guitar strings</t>
  </si>
  <si>
    <t>ATM withdrawl</t>
  </si>
  <si>
    <t>Concert Tickets</t>
  </si>
  <si>
    <t>YNAB</t>
  </si>
  <si>
    <t>Transmission Fix</t>
  </si>
  <si>
    <t>Party Costume</t>
  </si>
  <si>
    <t>Flight to WI</t>
  </si>
  <si>
    <t>Airport thing</t>
  </si>
  <si>
    <t>Greg Boyds</t>
  </si>
  <si>
    <t>Truck Tune Up</t>
  </si>
  <si>
    <t>flight to NY?</t>
  </si>
  <si>
    <t>AirBNB NY?</t>
  </si>
  <si>
    <t>Climbing WildWalls</t>
  </si>
  <si>
    <t>Dodo's Delight</t>
  </si>
  <si>
    <t>Yoga Mat + Foam Roller</t>
  </si>
  <si>
    <t>Apartment Cleaning</t>
  </si>
  <si>
    <t>Train ticket NY</t>
  </si>
  <si>
    <t>Sandals for Emma</t>
  </si>
  <si>
    <t>NY Something</t>
  </si>
  <si>
    <t>ATM for hustler</t>
  </si>
  <si>
    <t>Pedicure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</si>
</sst>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050B-9BBB-4B51-BC84-3B95012599D7}">
  <dimension ref="A1:I15"/>
  <sheetViews>
    <sheetView workbookViewId="0">
      <selection activeCell="F15" sqref="F15"/>
    </sheetView>
  </sheetViews>
  <sheetFormatPr defaultRowHeight="14.4" x14ac:dyDescent="0.3"/>
  <cols>
    <col min="1" max="1" width="10.5546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G1" t="s">
        <v>16</v>
      </c>
      <c r="I1" t="s">
        <v>17</v>
      </c>
    </row>
    <row r="2" spans="1:9" x14ac:dyDescent="0.3">
      <c r="A2" t="s">
        <v>0</v>
      </c>
      <c r="B2">
        <f>January!B34</f>
        <v>80.58</v>
      </c>
      <c r="C2">
        <f>January!C34</f>
        <v>54.82</v>
      </c>
      <c r="D2">
        <f>January!D34</f>
        <v>0</v>
      </c>
      <c r="E2">
        <f>January!E34</f>
        <v>62.980000000000004</v>
      </c>
      <c r="F2">
        <f>January!F34</f>
        <v>559.99</v>
      </c>
      <c r="G2">
        <f>January!H34</f>
        <v>350.99</v>
      </c>
      <c r="I2">
        <f>SUM(B2:G2)</f>
        <v>1109.3600000000001</v>
      </c>
    </row>
    <row r="3" spans="1:9" x14ac:dyDescent="0.3">
      <c r="A3" t="s">
        <v>1</v>
      </c>
      <c r="B3">
        <f>February!B31</f>
        <v>28.47</v>
      </c>
      <c r="C3">
        <f>February!C31</f>
        <v>66.72</v>
      </c>
      <c r="D3">
        <f>February!D31</f>
        <v>40</v>
      </c>
      <c r="E3">
        <f>February!E31</f>
        <v>0</v>
      </c>
      <c r="F3">
        <f>February!F31</f>
        <v>549.99</v>
      </c>
      <c r="G3">
        <f>February!H31</f>
        <v>333.15999999999997</v>
      </c>
      <c r="I3">
        <f t="shared" ref="I3:I15" si="0">SUM(B3:G3)</f>
        <v>1018.34</v>
      </c>
    </row>
    <row r="4" spans="1:9" x14ac:dyDescent="0.3">
      <c r="A4" t="s">
        <v>2</v>
      </c>
      <c r="B4">
        <f>March!B34</f>
        <v>68.72</v>
      </c>
      <c r="C4">
        <f>March!C34</f>
        <v>148.94</v>
      </c>
      <c r="D4">
        <f>March!D34</f>
        <v>0</v>
      </c>
      <c r="E4">
        <f>March!E34</f>
        <v>62.54</v>
      </c>
      <c r="F4">
        <f>March!F34</f>
        <v>526.61</v>
      </c>
      <c r="G4">
        <f>March!H34</f>
        <v>2786.9199999999996</v>
      </c>
      <c r="I4">
        <f t="shared" si="0"/>
        <v>3593.7299999999996</v>
      </c>
    </row>
    <row r="5" spans="1:9" x14ac:dyDescent="0.3">
      <c r="A5" t="s">
        <v>3</v>
      </c>
      <c r="B5">
        <f>April!B33</f>
        <v>61.32</v>
      </c>
      <c r="C5">
        <f>April!C33</f>
        <v>49.569999999999993</v>
      </c>
      <c r="D5">
        <f>April!D33</f>
        <v>76.95</v>
      </c>
      <c r="E5">
        <f>April!E33</f>
        <v>171.94000000000003</v>
      </c>
      <c r="F5">
        <f>April!F33</f>
        <v>526.99</v>
      </c>
      <c r="G5">
        <f>April!H33</f>
        <v>1546.76</v>
      </c>
      <c r="I5">
        <f t="shared" si="0"/>
        <v>2433.5299999999997</v>
      </c>
    </row>
    <row r="6" spans="1:9" x14ac:dyDescent="0.3">
      <c r="A6" t="s">
        <v>4</v>
      </c>
      <c r="B6">
        <f>May!B38</f>
        <v>358.39</v>
      </c>
      <c r="C6">
        <f>May!C38</f>
        <v>259.46999999999997</v>
      </c>
      <c r="D6">
        <f>May!D38</f>
        <v>18.240000000000002</v>
      </c>
      <c r="E6">
        <f>May!E38</f>
        <v>70.13</v>
      </c>
      <c r="F6">
        <f>May!F38</f>
        <v>0</v>
      </c>
      <c r="G6">
        <f>May!H38</f>
        <v>505.55999999999995</v>
      </c>
      <c r="I6">
        <f t="shared" si="0"/>
        <v>1211.79</v>
      </c>
    </row>
    <row r="7" spans="1:9" x14ac:dyDescent="0.3">
      <c r="A7" t="s">
        <v>5</v>
      </c>
      <c r="B7">
        <f>June!B33</f>
        <v>55.15</v>
      </c>
      <c r="C7">
        <f>June!C33</f>
        <v>92.25</v>
      </c>
      <c r="D7">
        <f>June!D33</f>
        <v>0</v>
      </c>
      <c r="E7">
        <f>June!E33</f>
        <v>140.73000000000002</v>
      </c>
      <c r="F7">
        <f>June!F33</f>
        <v>0</v>
      </c>
      <c r="G7">
        <f>June!H33</f>
        <v>0</v>
      </c>
      <c r="I7">
        <f t="shared" si="0"/>
        <v>288.13</v>
      </c>
    </row>
    <row r="8" spans="1:9" x14ac:dyDescent="0.3">
      <c r="A8" t="s">
        <v>6</v>
      </c>
      <c r="B8">
        <f>July!B34</f>
        <v>98.95</v>
      </c>
      <c r="C8">
        <f>July!C34</f>
        <v>152.83000000000001</v>
      </c>
      <c r="D8">
        <f>July!D34</f>
        <v>0</v>
      </c>
      <c r="E8">
        <f>July!E34</f>
        <v>92.91</v>
      </c>
      <c r="F8">
        <f>July!F34</f>
        <v>0</v>
      </c>
      <c r="G8">
        <f>July!H34</f>
        <v>860.24</v>
      </c>
      <c r="I8">
        <f t="shared" si="0"/>
        <v>1204.93</v>
      </c>
    </row>
    <row r="9" spans="1:9" x14ac:dyDescent="0.3">
      <c r="A9" t="s">
        <v>7</v>
      </c>
      <c r="B9">
        <f>August!B34</f>
        <v>0</v>
      </c>
      <c r="C9">
        <f>August!C34</f>
        <v>0</v>
      </c>
      <c r="D9">
        <f>August!D34</f>
        <v>0</v>
      </c>
      <c r="E9">
        <f>August!E34</f>
        <v>0</v>
      </c>
      <c r="F9">
        <f>August!F34</f>
        <v>0</v>
      </c>
      <c r="G9">
        <f>August!H34</f>
        <v>1059.06</v>
      </c>
      <c r="I9">
        <f t="shared" si="0"/>
        <v>1059.06</v>
      </c>
    </row>
    <row r="10" spans="1:9" x14ac:dyDescent="0.3">
      <c r="A10" t="s">
        <v>8</v>
      </c>
      <c r="B10">
        <f>September!B33</f>
        <v>125.4</v>
      </c>
      <c r="C10">
        <f>September!C33</f>
        <v>0</v>
      </c>
      <c r="D10">
        <f>September!D33</f>
        <v>0</v>
      </c>
      <c r="E10">
        <f>September!E33</f>
        <v>0</v>
      </c>
      <c r="F10">
        <f>September!F33</f>
        <v>0</v>
      </c>
      <c r="G10">
        <f>September!H33</f>
        <v>11.98</v>
      </c>
      <c r="I10">
        <f t="shared" si="0"/>
        <v>137.38</v>
      </c>
    </row>
    <row r="11" spans="1:9" x14ac:dyDescent="0.3">
      <c r="A11" t="s">
        <v>9</v>
      </c>
      <c r="B11">
        <f>October!B34</f>
        <v>45.92</v>
      </c>
      <c r="C11">
        <f>October!C34</f>
        <v>113.29</v>
      </c>
      <c r="D11">
        <f>October!D34</f>
        <v>0</v>
      </c>
      <c r="E11">
        <f>October!E34</f>
        <v>139.72999999999999</v>
      </c>
      <c r="F11">
        <f>October!F34</f>
        <v>0</v>
      </c>
      <c r="G11">
        <f>October!H34</f>
        <v>85.86</v>
      </c>
      <c r="I11">
        <f t="shared" si="0"/>
        <v>384.8</v>
      </c>
    </row>
    <row r="12" spans="1:9" x14ac:dyDescent="0.3">
      <c r="A12" t="s">
        <v>10</v>
      </c>
      <c r="B12">
        <f>November!B33</f>
        <v>31.78</v>
      </c>
      <c r="C12">
        <f>November!C33</f>
        <v>42.930000000000007</v>
      </c>
      <c r="D12">
        <f>November!D33</f>
        <v>0</v>
      </c>
      <c r="E12">
        <f>November!E33</f>
        <v>82.62</v>
      </c>
      <c r="F12">
        <f>November!F33</f>
        <v>0</v>
      </c>
      <c r="G12">
        <f>November!H33</f>
        <v>7.98</v>
      </c>
      <c r="I12">
        <f t="shared" si="0"/>
        <v>165.31</v>
      </c>
    </row>
    <row r="13" spans="1:9" x14ac:dyDescent="0.3">
      <c r="A13" t="s">
        <v>11</v>
      </c>
      <c r="B13">
        <f>December!B34</f>
        <v>23.72</v>
      </c>
      <c r="C13">
        <f>December!C34</f>
        <v>0</v>
      </c>
      <c r="D13">
        <f>December!D34</f>
        <v>0</v>
      </c>
      <c r="E13">
        <f>December!E34</f>
        <v>34.200000000000003</v>
      </c>
      <c r="F13">
        <f>December!F34</f>
        <v>0</v>
      </c>
      <c r="G13">
        <f>December!H34</f>
        <v>0</v>
      </c>
      <c r="I13">
        <f t="shared" si="0"/>
        <v>57.92</v>
      </c>
    </row>
    <row r="15" spans="1:9" x14ac:dyDescent="0.3">
      <c r="A15" t="s">
        <v>17</v>
      </c>
      <c r="B15">
        <f>SUM(B2:B13)</f>
        <v>978.4</v>
      </c>
      <c r="C15">
        <f t="shared" ref="C15:G15" si="1">SUM(C2:C13)</f>
        <v>980.81999999999994</v>
      </c>
      <c r="D15">
        <f t="shared" si="1"/>
        <v>135.19</v>
      </c>
      <c r="E15">
        <f t="shared" si="1"/>
        <v>857.78000000000009</v>
      </c>
      <c r="F15">
        <f t="shared" si="1"/>
        <v>2163.58</v>
      </c>
      <c r="G15">
        <f t="shared" si="1"/>
        <v>7548.5099999999975</v>
      </c>
      <c r="I15">
        <f t="shared" si="0"/>
        <v>12664.279999999999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9676-C981-449E-AF95-B1FE37DA74B3}">
  <dimension ref="A1:I34"/>
  <sheetViews>
    <sheetView topLeftCell="A8" workbookViewId="0">
      <selection activeCell="B10" sqref="B10"/>
    </sheetView>
  </sheetViews>
  <sheetFormatPr defaultRowHeight="14.4" x14ac:dyDescent="0.3"/>
  <cols>
    <col min="1" max="1" width="9.5546875" bestFit="1" customWidth="1"/>
    <col min="7" max="7" width="18" customWidth="1"/>
    <col min="9" max="9" width="18.88671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42736</v>
      </c>
      <c r="F2">
        <v>9.99</v>
      </c>
      <c r="G2" t="s">
        <v>20</v>
      </c>
    </row>
    <row r="3" spans="1:9" x14ac:dyDescent="0.3">
      <c r="A3" s="1">
        <v>42737</v>
      </c>
      <c r="F3">
        <v>550</v>
      </c>
      <c r="G3" t="s">
        <v>36</v>
      </c>
    </row>
    <row r="4" spans="1:9" x14ac:dyDescent="0.3">
      <c r="A4" s="1">
        <v>42738</v>
      </c>
      <c r="B4">
        <v>9.4</v>
      </c>
      <c r="H4">
        <v>17</v>
      </c>
      <c r="I4" t="s">
        <v>21</v>
      </c>
    </row>
    <row r="5" spans="1:9" x14ac:dyDescent="0.3">
      <c r="A5" s="1">
        <v>42739</v>
      </c>
      <c r="H5">
        <v>14.99</v>
      </c>
    </row>
    <row r="6" spans="1:9" x14ac:dyDescent="0.3">
      <c r="A6" s="1">
        <v>42740</v>
      </c>
      <c r="C6">
        <v>7.75</v>
      </c>
      <c r="E6">
        <v>31.26</v>
      </c>
      <c r="H6">
        <v>78.75</v>
      </c>
      <c r="I6" t="s">
        <v>22</v>
      </c>
    </row>
    <row r="7" spans="1:9" x14ac:dyDescent="0.3">
      <c r="A7" s="1">
        <v>42741</v>
      </c>
      <c r="B7">
        <f>20.9 + 9.78</f>
        <v>30.68</v>
      </c>
    </row>
    <row r="8" spans="1:9" x14ac:dyDescent="0.3">
      <c r="A8" s="1">
        <v>42742</v>
      </c>
    </row>
    <row r="9" spans="1:9" x14ac:dyDescent="0.3">
      <c r="A9" s="1">
        <v>42743</v>
      </c>
    </row>
    <row r="10" spans="1:9" x14ac:dyDescent="0.3">
      <c r="A10" s="1">
        <v>42744</v>
      </c>
    </row>
    <row r="11" spans="1:9" x14ac:dyDescent="0.3">
      <c r="A11" s="1">
        <v>42745</v>
      </c>
    </row>
    <row r="12" spans="1:9" x14ac:dyDescent="0.3">
      <c r="A12" s="1">
        <v>42746</v>
      </c>
    </row>
    <row r="13" spans="1:9" x14ac:dyDescent="0.3">
      <c r="A13" s="1">
        <v>42747</v>
      </c>
    </row>
    <row r="14" spans="1:9" x14ac:dyDescent="0.3">
      <c r="A14" s="1">
        <v>42748</v>
      </c>
    </row>
    <row r="15" spans="1:9" x14ac:dyDescent="0.3">
      <c r="A15" s="1">
        <v>42749</v>
      </c>
    </row>
    <row r="16" spans="1:9" x14ac:dyDescent="0.3">
      <c r="A16" s="1">
        <v>42750</v>
      </c>
    </row>
    <row r="17" spans="1:9" x14ac:dyDescent="0.3">
      <c r="A17" s="1">
        <v>42751</v>
      </c>
    </row>
    <row r="18" spans="1:9" x14ac:dyDescent="0.3">
      <c r="A18" s="1">
        <v>42752</v>
      </c>
    </row>
    <row r="19" spans="1:9" x14ac:dyDescent="0.3">
      <c r="A19" s="1">
        <v>42753</v>
      </c>
    </row>
    <row r="20" spans="1:9" x14ac:dyDescent="0.3">
      <c r="A20" s="1">
        <v>42754</v>
      </c>
      <c r="H20">
        <v>34.99</v>
      </c>
      <c r="I20" t="s">
        <v>37</v>
      </c>
    </row>
    <row r="21" spans="1:9" x14ac:dyDescent="0.3">
      <c r="A21" s="1">
        <v>42755</v>
      </c>
      <c r="H21">
        <v>41.26</v>
      </c>
      <c r="I21" t="s">
        <v>38</v>
      </c>
    </row>
    <row r="22" spans="1:9" x14ac:dyDescent="0.3">
      <c r="A22" s="1">
        <v>42756</v>
      </c>
      <c r="E22">
        <v>31.72</v>
      </c>
      <c r="H22">
        <v>40</v>
      </c>
      <c r="I22" t="s">
        <v>39</v>
      </c>
    </row>
    <row r="23" spans="1:9" x14ac:dyDescent="0.3">
      <c r="A23" s="1">
        <v>42757</v>
      </c>
    </row>
    <row r="24" spans="1:9" x14ac:dyDescent="0.3">
      <c r="A24" s="1">
        <v>42758</v>
      </c>
    </row>
    <row r="25" spans="1:9" x14ac:dyDescent="0.3">
      <c r="A25" s="1">
        <v>42759</v>
      </c>
    </row>
    <row r="26" spans="1:9" x14ac:dyDescent="0.3">
      <c r="A26" s="1">
        <v>42760</v>
      </c>
      <c r="C26">
        <v>35.57</v>
      </c>
    </row>
    <row r="27" spans="1:9" x14ac:dyDescent="0.3">
      <c r="A27" s="1">
        <v>42761</v>
      </c>
      <c r="H27">
        <v>84</v>
      </c>
      <c r="I27" t="s">
        <v>23</v>
      </c>
    </row>
    <row r="28" spans="1:9" x14ac:dyDescent="0.3">
      <c r="A28" s="1">
        <v>42762</v>
      </c>
      <c r="C28">
        <f>SUM(5.5,3)</f>
        <v>8.5</v>
      </c>
      <c r="H28">
        <v>40</v>
      </c>
      <c r="I28" t="s">
        <v>40</v>
      </c>
    </row>
    <row r="29" spans="1:9" x14ac:dyDescent="0.3">
      <c r="A29" s="1">
        <v>42763</v>
      </c>
    </row>
    <row r="30" spans="1:9" x14ac:dyDescent="0.3">
      <c r="A30" s="1">
        <v>42764</v>
      </c>
    </row>
    <row r="31" spans="1:9" x14ac:dyDescent="0.3">
      <c r="A31" s="1">
        <v>42765</v>
      </c>
    </row>
    <row r="32" spans="1:9" x14ac:dyDescent="0.3">
      <c r="A32" s="1">
        <v>42766</v>
      </c>
      <c r="B32">
        <v>40.5</v>
      </c>
      <c r="C32">
        <v>3</v>
      </c>
    </row>
    <row r="34" spans="1:8" x14ac:dyDescent="0.3">
      <c r="A34" t="s">
        <v>17</v>
      </c>
      <c r="B34">
        <f>SUM(B2:B32)</f>
        <v>80.58</v>
      </c>
      <c r="C34">
        <f t="shared" ref="C34:H34" si="0">SUM(C2:C32)</f>
        <v>54.82</v>
      </c>
      <c r="D34">
        <f t="shared" si="0"/>
        <v>0</v>
      </c>
      <c r="E34">
        <f t="shared" si="0"/>
        <v>62.980000000000004</v>
      </c>
      <c r="F34">
        <f t="shared" si="0"/>
        <v>559.99</v>
      </c>
      <c r="H34">
        <f t="shared" si="0"/>
        <v>350.99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9BED-DBA1-4086-954F-3AA347C0FEAE}">
  <dimension ref="A1:I31"/>
  <sheetViews>
    <sheetView topLeftCell="A4" workbookViewId="0">
      <selection activeCell="F28" sqref="F28"/>
    </sheetView>
  </sheetViews>
  <sheetFormatPr defaultRowHeight="14.4" x14ac:dyDescent="0.3"/>
  <cols>
    <col min="1" max="1" width="10.6640625" customWidth="1"/>
    <col min="9" max="9" width="15.3320312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42767</v>
      </c>
      <c r="F2">
        <v>9.99</v>
      </c>
      <c r="G2" t="s">
        <v>20</v>
      </c>
    </row>
    <row r="3" spans="1:9" x14ac:dyDescent="0.3">
      <c r="A3" s="1">
        <v>42768</v>
      </c>
      <c r="F3">
        <v>480</v>
      </c>
      <c r="G3" t="s">
        <v>36</v>
      </c>
    </row>
    <row r="4" spans="1:9" x14ac:dyDescent="0.3">
      <c r="A4" s="1">
        <v>42769</v>
      </c>
      <c r="B4">
        <v>14.07</v>
      </c>
      <c r="H4">
        <v>135</v>
      </c>
      <c r="I4" t="s">
        <v>41</v>
      </c>
    </row>
    <row r="5" spans="1:9" x14ac:dyDescent="0.3">
      <c r="A5" s="1">
        <v>42770</v>
      </c>
    </row>
    <row r="6" spans="1:9" x14ac:dyDescent="0.3">
      <c r="A6" s="1">
        <v>42771</v>
      </c>
      <c r="H6">
        <v>107.76</v>
      </c>
      <c r="I6" t="s">
        <v>42</v>
      </c>
    </row>
    <row r="7" spans="1:9" x14ac:dyDescent="0.3">
      <c r="A7" s="1">
        <v>42772</v>
      </c>
      <c r="C7">
        <v>20</v>
      </c>
      <c r="D7">
        <v>40</v>
      </c>
      <c r="H7">
        <v>11</v>
      </c>
      <c r="I7" t="s">
        <v>43</v>
      </c>
    </row>
    <row r="8" spans="1:9" x14ac:dyDescent="0.3">
      <c r="A8" s="1">
        <v>42773</v>
      </c>
      <c r="H8">
        <v>13.15</v>
      </c>
      <c r="I8" t="s">
        <v>43</v>
      </c>
    </row>
    <row r="9" spans="1:9" x14ac:dyDescent="0.3">
      <c r="A9" s="1">
        <v>42774</v>
      </c>
      <c r="H9">
        <v>10.25</v>
      </c>
      <c r="I9" t="s">
        <v>43</v>
      </c>
    </row>
    <row r="10" spans="1:9" x14ac:dyDescent="0.3">
      <c r="A10" s="1">
        <v>42775</v>
      </c>
    </row>
    <row r="11" spans="1:9" x14ac:dyDescent="0.3">
      <c r="A11" s="1">
        <v>42776</v>
      </c>
      <c r="B11">
        <v>11.41</v>
      </c>
      <c r="C11">
        <v>2</v>
      </c>
    </row>
    <row r="12" spans="1:9" x14ac:dyDescent="0.3">
      <c r="A12" s="1">
        <v>42777</v>
      </c>
    </row>
    <row r="13" spans="1:9" x14ac:dyDescent="0.3">
      <c r="A13" s="1">
        <v>42778</v>
      </c>
      <c r="H13">
        <v>39</v>
      </c>
      <c r="I13" t="s">
        <v>44</v>
      </c>
    </row>
    <row r="14" spans="1:9" x14ac:dyDescent="0.3">
      <c r="A14" s="1">
        <v>42779</v>
      </c>
      <c r="C14">
        <v>7.6</v>
      </c>
    </row>
    <row r="15" spans="1:9" x14ac:dyDescent="0.3">
      <c r="A15" s="1">
        <v>42780</v>
      </c>
      <c r="C15">
        <v>15</v>
      </c>
    </row>
    <row r="16" spans="1:9" x14ac:dyDescent="0.3">
      <c r="A16" s="1">
        <v>42781</v>
      </c>
    </row>
    <row r="17" spans="1:9" x14ac:dyDescent="0.3">
      <c r="A17" s="1">
        <v>42782</v>
      </c>
    </row>
    <row r="18" spans="1:9" x14ac:dyDescent="0.3">
      <c r="A18" s="1">
        <v>42783</v>
      </c>
    </row>
    <row r="19" spans="1:9" x14ac:dyDescent="0.3">
      <c r="A19" s="1">
        <v>42784</v>
      </c>
      <c r="C19">
        <v>12.88</v>
      </c>
    </row>
    <row r="20" spans="1:9" x14ac:dyDescent="0.3">
      <c r="A20" s="1">
        <v>42785</v>
      </c>
      <c r="H20">
        <v>17</v>
      </c>
      <c r="I20" t="s">
        <v>21</v>
      </c>
    </row>
    <row r="21" spans="1:9" x14ac:dyDescent="0.3">
      <c r="A21" s="1">
        <v>42786</v>
      </c>
      <c r="C21">
        <v>9.24</v>
      </c>
    </row>
    <row r="22" spans="1:9" x14ac:dyDescent="0.3">
      <c r="A22" s="1">
        <v>42787</v>
      </c>
    </row>
    <row r="23" spans="1:9" x14ac:dyDescent="0.3">
      <c r="A23" s="1">
        <v>42788</v>
      </c>
    </row>
    <row r="24" spans="1:9" x14ac:dyDescent="0.3">
      <c r="A24" s="1">
        <v>42789</v>
      </c>
      <c r="B24">
        <v>2.99</v>
      </c>
    </row>
    <row r="25" spans="1:9" x14ac:dyDescent="0.3">
      <c r="A25" s="1">
        <v>42790</v>
      </c>
      <c r="F25">
        <v>60</v>
      </c>
      <c r="G25" t="s">
        <v>45</v>
      </c>
    </row>
    <row r="26" spans="1:9" x14ac:dyDescent="0.3">
      <c r="A26" s="1">
        <v>42791</v>
      </c>
    </row>
    <row r="27" spans="1:9" x14ac:dyDescent="0.3">
      <c r="A27" s="1">
        <v>42792</v>
      </c>
    </row>
    <row r="28" spans="1:9" x14ac:dyDescent="0.3">
      <c r="A28" s="1">
        <v>42793</v>
      </c>
    </row>
    <row r="29" spans="1:9" x14ac:dyDescent="0.3">
      <c r="A29" s="1">
        <v>42794</v>
      </c>
    </row>
    <row r="30" spans="1:9" x14ac:dyDescent="0.3">
      <c r="A30" s="1"/>
    </row>
    <row r="31" spans="1:9" x14ac:dyDescent="0.3">
      <c r="A31" t="s">
        <v>17</v>
      </c>
      <c r="B31">
        <f>SUM(B2:B29)</f>
        <v>28.47</v>
      </c>
      <c r="C31">
        <f t="shared" ref="C31:H31" si="0">SUM(C2:C29)</f>
        <v>66.72</v>
      </c>
      <c r="D31">
        <f t="shared" si="0"/>
        <v>40</v>
      </c>
      <c r="E31">
        <f t="shared" si="0"/>
        <v>0</v>
      </c>
      <c r="F31">
        <f t="shared" si="0"/>
        <v>549.99</v>
      </c>
      <c r="H31">
        <f t="shared" si="0"/>
        <v>333.15999999999997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F13D-1A28-4008-A32A-1E1DD2B59846}">
  <dimension ref="A1:I34"/>
  <sheetViews>
    <sheetView topLeftCell="A7" workbookViewId="0">
      <selection activeCell="H35" sqref="H35"/>
    </sheetView>
  </sheetViews>
  <sheetFormatPr defaultRowHeight="14.4" x14ac:dyDescent="0.3"/>
  <cols>
    <col min="1" max="1" width="10" customWidth="1"/>
    <col min="9" max="9" width="14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42795</v>
      </c>
      <c r="F2">
        <v>9.99</v>
      </c>
      <c r="G2" t="s">
        <v>20</v>
      </c>
    </row>
    <row r="3" spans="1:9" x14ac:dyDescent="0.3">
      <c r="A3" s="1">
        <v>42796</v>
      </c>
      <c r="F3">
        <v>450</v>
      </c>
      <c r="G3" t="s">
        <v>36</v>
      </c>
    </row>
    <row r="4" spans="1:9" x14ac:dyDescent="0.3">
      <c r="A4" s="1">
        <v>42797</v>
      </c>
      <c r="C4">
        <v>12</v>
      </c>
      <c r="F4">
        <v>66.62</v>
      </c>
      <c r="G4" t="s">
        <v>45</v>
      </c>
      <c r="H4">
        <v>9</v>
      </c>
      <c r="I4" t="s">
        <v>46</v>
      </c>
    </row>
    <row r="5" spans="1:9" x14ac:dyDescent="0.3">
      <c r="A5" s="1">
        <v>42798</v>
      </c>
      <c r="H5">
        <v>120</v>
      </c>
      <c r="I5" t="s">
        <v>47</v>
      </c>
    </row>
    <row r="6" spans="1:9" x14ac:dyDescent="0.3">
      <c r="A6" s="1">
        <v>42799</v>
      </c>
      <c r="H6">
        <v>32.450000000000003</v>
      </c>
      <c r="I6" t="s">
        <v>48</v>
      </c>
    </row>
    <row r="7" spans="1:9" x14ac:dyDescent="0.3">
      <c r="A7" s="1">
        <v>42800</v>
      </c>
      <c r="C7">
        <v>18</v>
      </c>
    </row>
    <row r="8" spans="1:9" x14ac:dyDescent="0.3">
      <c r="A8" s="1">
        <v>42801</v>
      </c>
      <c r="C8">
        <v>8.98</v>
      </c>
    </row>
    <row r="9" spans="1:9" x14ac:dyDescent="0.3">
      <c r="A9" s="1">
        <v>42802</v>
      </c>
    </row>
    <row r="10" spans="1:9" x14ac:dyDescent="0.3">
      <c r="A10" s="1">
        <v>42803</v>
      </c>
      <c r="H10">
        <v>50</v>
      </c>
      <c r="I10" t="s">
        <v>49</v>
      </c>
    </row>
    <row r="11" spans="1:9" x14ac:dyDescent="0.3">
      <c r="A11" s="1">
        <v>42804</v>
      </c>
      <c r="B11">
        <v>10.49</v>
      </c>
    </row>
    <row r="12" spans="1:9" x14ac:dyDescent="0.3">
      <c r="A12" s="1">
        <v>42805</v>
      </c>
      <c r="C12">
        <f>SUM(4.75,5.15)</f>
        <v>9.9</v>
      </c>
    </row>
    <row r="13" spans="1:9" x14ac:dyDescent="0.3">
      <c r="A13" s="1">
        <v>42806</v>
      </c>
    </row>
    <row r="14" spans="1:9" x14ac:dyDescent="0.3">
      <c r="A14" s="1">
        <v>42807</v>
      </c>
      <c r="B14">
        <v>14.13</v>
      </c>
      <c r="C14">
        <f>SUM(2.75,9.5)</f>
        <v>12.25</v>
      </c>
      <c r="H14">
        <v>2030</v>
      </c>
      <c r="I14" t="s">
        <v>50</v>
      </c>
    </row>
    <row r="15" spans="1:9" x14ac:dyDescent="0.3">
      <c r="A15" s="1">
        <v>42808</v>
      </c>
      <c r="B15">
        <v>18.77</v>
      </c>
      <c r="H15">
        <v>51.87</v>
      </c>
      <c r="I15" t="s">
        <v>51</v>
      </c>
    </row>
    <row r="16" spans="1:9" x14ac:dyDescent="0.3">
      <c r="A16" s="1">
        <v>42809</v>
      </c>
    </row>
    <row r="17" spans="1:9" x14ac:dyDescent="0.3">
      <c r="A17" s="1">
        <v>42810</v>
      </c>
      <c r="C17">
        <v>7.44</v>
      </c>
      <c r="H17">
        <v>433.6</v>
      </c>
      <c r="I17" t="s">
        <v>52</v>
      </c>
    </row>
    <row r="18" spans="1:9" x14ac:dyDescent="0.3">
      <c r="A18" s="1">
        <v>42811</v>
      </c>
      <c r="E18">
        <v>31.09</v>
      </c>
    </row>
    <row r="19" spans="1:9" x14ac:dyDescent="0.3">
      <c r="A19" s="1">
        <v>42812</v>
      </c>
      <c r="B19">
        <v>18.149999999999999</v>
      </c>
      <c r="C19">
        <v>8.9700000000000006</v>
      </c>
    </row>
    <row r="20" spans="1:9" x14ac:dyDescent="0.3">
      <c r="A20" s="1">
        <v>42813</v>
      </c>
    </row>
    <row r="21" spans="1:9" x14ac:dyDescent="0.3">
      <c r="A21" s="1">
        <v>42814</v>
      </c>
    </row>
    <row r="22" spans="1:9" x14ac:dyDescent="0.3">
      <c r="A22" s="1">
        <v>42815</v>
      </c>
      <c r="C22">
        <v>16.16</v>
      </c>
    </row>
    <row r="23" spans="1:9" x14ac:dyDescent="0.3">
      <c r="A23" s="1">
        <v>42816</v>
      </c>
      <c r="E23">
        <v>31.45</v>
      </c>
    </row>
    <row r="24" spans="1:9" x14ac:dyDescent="0.3">
      <c r="A24" s="1">
        <v>42817</v>
      </c>
    </row>
    <row r="25" spans="1:9" x14ac:dyDescent="0.3">
      <c r="A25" s="1">
        <v>42818</v>
      </c>
      <c r="C25">
        <v>4.24</v>
      </c>
    </row>
    <row r="26" spans="1:9" x14ac:dyDescent="0.3">
      <c r="A26" s="1">
        <v>42819</v>
      </c>
      <c r="B26">
        <v>7.18</v>
      </c>
    </row>
    <row r="27" spans="1:9" x14ac:dyDescent="0.3">
      <c r="A27" s="1">
        <v>42820</v>
      </c>
    </row>
    <row r="28" spans="1:9" x14ac:dyDescent="0.3">
      <c r="A28" s="1">
        <v>42821</v>
      </c>
      <c r="C28">
        <v>9</v>
      </c>
    </row>
    <row r="29" spans="1:9" x14ac:dyDescent="0.3">
      <c r="A29" s="1">
        <v>42822</v>
      </c>
    </row>
    <row r="30" spans="1:9" x14ac:dyDescent="0.3">
      <c r="A30" s="1">
        <v>42823</v>
      </c>
    </row>
    <row r="31" spans="1:9" x14ac:dyDescent="0.3">
      <c r="A31" s="1">
        <v>42824</v>
      </c>
      <c r="C31">
        <v>15</v>
      </c>
      <c r="H31">
        <v>60</v>
      </c>
      <c r="I31" t="s">
        <v>53</v>
      </c>
    </row>
    <row r="32" spans="1:9" x14ac:dyDescent="0.3">
      <c r="A32" s="1">
        <v>42825</v>
      </c>
      <c r="C32">
        <f>SUM(24,15)</f>
        <v>39</v>
      </c>
    </row>
    <row r="34" spans="1:8" x14ac:dyDescent="0.3">
      <c r="A34" t="s">
        <v>17</v>
      </c>
      <c r="B34">
        <f>SUM(B5:B32)</f>
        <v>68.72</v>
      </c>
      <c r="C34">
        <f t="shared" ref="C34:H34" si="0">SUM(C5:C32)</f>
        <v>148.94</v>
      </c>
      <c r="D34">
        <f t="shared" si="0"/>
        <v>0</v>
      </c>
      <c r="E34">
        <f t="shared" si="0"/>
        <v>62.54</v>
      </c>
      <c r="F34">
        <f>SUM(F2:F32)</f>
        <v>526.61</v>
      </c>
      <c r="H34">
        <f>SUM(H2:H32)</f>
        <v>2786.9199999999996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9D9D-4CBA-43C4-B4D5-1AF18FDA16EC}">
  <dimension ref="A1:I33"/>
  <sheetViews>
    <sheetView topLeftCell="A13" workbookViewId="0">
      <selection activeCell="F34" sqref="F34"/>
    </sheetView>
  </sheetViews>
  <sheetFormatPr defaultRowHeight="14.4" x14ac:dyDescent="0.3"/>
  <cols>
    <col min="1" max="1" width="10" customWidth="1"/>
    <col min="9" max="9" width="20.88671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42826</v>
      </c>
      <c r="B2">
        <v>23.7</v>
      </c>
      <c r="C2">
        <v>6.68</v>
      </c>
      <c r="F2">
        <v>9.99</v>
      </c>
      <c r="G2" t="s">
        <v>20</v>
      </c>
    </row>
    <row r="3" spans="1:9" x14ac:dyDescent="0.3">
      <c r="A3" s="1">
        <v>42827</v>
      </c>
      <c r="F3">
        <v>450</v>
      </c>
      <c r="G3" t="s">
        <v>36</v>
      </c>
    </row>
    <row r="4" spans="1:9" x14ac:dyDescent="0.3">
      <c r="A4" s="1">
        <v>42828</v>
      </c>
      <c r="D4">
        <v>27</v>
      </c>
      <c r="E4">
        <v>30.79</v>
      </c>
    </row>
    <row r="5" spans="1:9" x14ac:dyDescent="0.3">
      <c r="A5" s="1">
        <v>42829</v>
      </c>
    </row>
    <row r="6" spans="1:9" x14ac:dyDescent="0.3">
      <c r="A6" s="1">
        <v>42830</v>
      </c>
    </row>
    <row r="7" spans="1:9" x14ac:dyDescent="0.3">
      <c r="A7" s="1">
        <v>42831</v>
      </c>
      <c r="B7">
        <v>3.83</v>
      </c>
      <c r="C7">
        <v>2.5</v>
      </c>
      <c r="E7">
        <v>18.11</v>
      </c>
    </row>
    <row r="8" spans="1:9" x14ac:dyDescent="0.3">
      <c r="A8" s="1">
        <v>42832</v>
      </c>
    </row>
    <row r="9" spans="1:9" x14ac:dyDescent="0.3">
      <c r="A9" s="1">
        <v>42833</v>
      </c>
    </row>
    <row r="10" spans="1:9" x14ac:dyDescent="0.3">
      <c r="A10" s="1">
        <v>42834</v>
      </c>
    </row>
    <row r="11" spans="1:9" x14ac:dyDescent="0.3">
      <c r="A11" s="1">
        <v>42835</v>
      </c>
      <c r="C11">
        <f>SUM(8.5,2.75)</f>
        <v>11.25</v>
      </c>
      <c r="D11">
        <v>49.95</v>
      </c>
      <c r="F11">
        <v>67</v>
      </c>
      <c r="G11" t="s">
        <v>45</v>
      </c>
      <c r="H11">
        <v>52</v>
      </c>
      <c r="I11" t="s">
        <v>54</v>
      </c>
    </row>
    <row r="12" spans="1:9" x14ac:dyDescent="0.3">
      <c r="A12" s="1">
        <v>42836</v>
      </c>
    </row>
    <row r="13" spans="1:9" x14ac:dyDescent="0.3">
      <c r="A13" s="1">
        <v>42837</v>
      </c>
      <c r="B13">
        <v>26.06</v>
      </c>
    </row>
    <row r="14" spans="1:9" x14ac:dyDescent="0.3">
      <c r="A14" s="1">
        <v>42838</v>
      </c>
      <c r="C14">
        <v>9</v>
      </c>
      <c r="H14">
        <v>352</v>
      </c>
      <c r="I14" t="s">
        <v>56</v>
      </c>
    </row>
    <row r="15" spans="1:9" x14ac:dyDescent="0.3">
      <c r="A15" s="1">
        <v>42839</v>
      </c>
    </row>
    <row r="16" spans="1:9" x14ac:dyDescent="0.3">
      <c r="A16" s="1">
        <v>42840</v>
      </c>
    </row>
    <row r="17" spans="1:9" x14ac:dyDescent="0.3">
      <c r="A17" s="1">
        <v>42841</v>
      </c>
    </row>
    <row r="18" spans="1:9" x14ac:dyDescent="0.3">
      <c r="A18" s="1">
        <v>42842</v>
      </c>
      <c r="H18">
        <v>295</v>
      </c>
      <c r="I18" t="s">
        <v>57</v>
      </c>
    </row>
    <row r="19" spans="1:9" x14ac:dyDescent="0.3">
      <c r="A19" s="1">
        <v>42843</v>
      </c>
    </row>
    <row r="20" spans="1:9" x14ac:dyDescent="0.3">
      <c r="A20" s="1">
        <v>42844</v>
      </c>
      <c r="H20">
        <v>763</v>
      </c>
      <c r="I20" t="s">
        <v>55</v>
      </c>
    </row>
    <row r="21" spans="1:9" x14ac:dyDescent="0.3">
      <c r="A21" s="1">
        <v>42845</v>
      </c>
    </row>
    <row r="22" spans="1:9" x14ac:dyDescent="0.3">
      <c r="A22" s="1">
        <v>42846</v>
      </c>
      <c r="E22">
        <v>29.47</v>
      </c>
      <c r="H22">
        <v>16</v>
      </c>
      <c r="I22" t="s">
        <v>58</v>
      </c>
    </row>
    <row r="23" spans="1:9" x14ac:dyDescent="0.3">
      <c r="A23" s="1">
        <v>42847</v>
      </c>
    </row>
    <row r="24" spans="1:9" x14ac:dyDescent="0.3">
      <c r="A24" s="1">
        <v>42848</v>
      </c>
      <c r="H24">
        <v>19.95</v>
      </c>
      <c r="I24" t="s">
        <v>59</v>
      </c>
    </row>
    <row r="25" spans="1:9" x14ac:dyDescent="0.3">
      <c r="A25" s="1">
        <v>42849</v>
      </c>
    </row>
    <row r="26" spans="1:9" x14ac:dyDescent="0.3">
      <c r="A26" s="1">
        <v>42850</v>
      </c>
      <c r="B26">
        <v>31.43</v>
      </c>
      <c r="C26">
        <v>0.99</v>
      </c>
      <c r="E26">
        <v>29.12</v>
      </c>
    </row>
    <row r="27" spans="1:9" x14ac:dyDescent="0.3">
      <c r="A27" s="1">
        <v>42851</v>
      </c>
      <c r="C27">
        <v>15.75</v>
      </c>
      <c r="E27">
        <v>27.36</v>
      </c>
    </row>
    <row r="28" spans="1:9" x14ac:dyDescent="0.3">
      <c r="A28" s="1">
        <v>42852</v>
      </c>
    </row>
    <row r="29" spans="1:9" x14ac:dyDescent="0.3">
      <c r="A29" s="1">
        <v>42853</v>
      </c>
    </row>
    <row r="30" spans="1:9" x14ac:dyDescent="0.3">
      <c r="A30" s="1">
        <v>42854</v>
      </c>
      <c r="C30">
        <f>SUM(8.49,1.59)</f>
        <v>10.08</v>
      </c>
      <c r="E30">
        <v>37.090000000000003</v>
      </c>
      <c r="H30">
        <v>48.81</v>
      </c>
      <c r="I30" t="s">
        <v>60</v>
      </c>
    </row>
    <row r="31" spans="1:9" x14ac:dyDescent="0.3">
      <c r="A31" s="1">
        <v>42855</v>
      </c>
    </row>
    <row r="32" spans="1:9" x14ac:dyDescent="0.3">
      <c r="A32" s="1"/>
    </row>
    <row r="33" spans="1:8" x14ac:dyDescent="0.3">
      <c r="A33" t="s">
        <v>17</v>
      </c>
      <c r="B33">
        <f>SUM(B4:B31)</f>
        <v>61.32</v>
      </c>
      <c r="C33">
        <f t="shared" ref="C33:H33" si="0">SUM(C4:C31)</f>
        <v>49.569999999999993</v>
      </c>
      <c r="D33">
        <f t="shared" si="0"/>
        <v>76.95</v>
      </c>
      <c r="E33">
        <f t="shared" si="0"/>
        <v>171.94000000000003</v>
      </c>
      <c r="F33">
        <f>SUM(F2:F31)</f>
        <v>526.99</v>
      </c>
      <c r="H33">
        <f t="shared" si="0"/>
        <v>1546.76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6731-071C-454D-A716-13720204D0B9}">
  <dimension ref="A1:I38"/>
  <sheetViews>
    <sheetView tabSelected="1" workbookViewId="0">
      <selection activeCell="I29" sqref="I29"/>
    </sheetView>
  </sheetViews>
  <sheetFormatPr defaultRowHeight="14.4" x14ac:dyDescent="0.3"/>
  <cols>
    <col min="1" max="1" width="9.5546875" bestFit="1" customWidth="1"/>
    <col min="9" max="9" width="17.5546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42856</v>
      </c>
      <c r="B2">
        <v>35.54</v>
      </c>
      <c r="C2">
        <f>SUM(22,21)</f>
        <v>43</v>
      </c>
      <c r="F2">
        <v>9.99</v>
      </c>
      <c r="G2" t="s">
        <v>20</v>
      </c>
    </row>
    <row r="3" spans="1:9" x14ac:dyDescent="0.3">
      <c r="A3" s="1">
        <v>42857</v>
      </c>
      <c r="C3">
        <v>9</v>
      </c>
    </row>
    <row r="4" spans="1:9" x14ac:dyDescent="0.3">
      <c r="A4" s="1">
        <v>42858</v>
      </c>
      <c r="C4">
        <f>9.71 + 25</f>
        <v>34.71</v>
      </c>
    </row>
    <row r="5" spans="1:9" x14ac:dyDescent="0.3">
      <c r="A5" s="1">
        <v>42859</v>
      </c>
      <c r="C5">
        <v>9.99</v>
      </c>
    </row>
    <row r="6" spans="1:9" x14ac:dyDescent="0.3">
      <c r="A6" s="1">
        <v>42860</v>
      </c>
      <c r="C6">
        <v>6.76</v>
      </c>
    </row>
    <row r="7" spans="1:9" x14ac:dyDescent="0.3">
      <c r="A7" s="1">
        <v>42861</v>
      </c>
      <c r="B7">
        <f>6.2 + 133.08</f>
        <v>139.28</v>
      </c>
      <c r="C7">
        <f>26 + 12</f>
        <v>38</v>
      </c>
      <c r="E7">
        <v>36.29</v>
      </c>
      <c r="H7">
        <v>92.21</v>
      </c>
      <c r="I7" t="s">
        <v>24</v>
      </c>
    </row>
    <row r="8" spans="1:9" x14ac:dyDescent="0.3">
      <c r="A8" s="1">
        <v>42862</v>
      </c>
      <c r="B8">
        <v>105.04</v>
      </c>
      <c r="C8">
        <v>4.87</v>
      </c>
    </row>
    <row r="9" spans="1:9" x14ac:dyDescent="0.3">
      <c r="A9" s="1">
        <v>42863</v>
      </c>
      <c r="H9">
        <v>173.76</v>
      </c>
      <c r="I9" t="s">
        <v>61</v>
      </c>
    </row>
    <row r="10" spans="1:9" x14ac:dyDescent="0.3">
      <c r="A10" s="1">
        <v>42864</v>
      </c>
    </row>
    <row r="11" spans="1:9" x14ac:dyDescent="0.3">
      <c r="A11" s="1">
        <v>42865</v>
      </c>
    </row>
    <row r="12" spans="1:9" x14ac:dyDescent="0.3">
      <c r="A12" s="1">
        <v>42866</v>
      </c>
      <c r="C12">
        <v>20</v>
      </c>
    </row>
    <row r="13" spans="1:9" x14ac:dyDescent="0.3">
      <c r="A13" s="1">
        <v>42867</v>
      </c>
      <c r="C13">
        <v>10.54</v>
      </c>
      <c r="H13">
        <v>43</v>
      </c>
      <c r="I13" t="s">
        <v>47</v>
      </c>
    </row>
    <row r="14" spans="1:9" x14ac:dyDescent="0.3">
      <c r="A14" s="1">
        <v>42868</v>
      </c>
    </row>
    <row r="15" spans="1:9" x14ac:dyDescent="0.3">
      <c r="A15" s="1">
        <v>42869</v>
      </c>
    </row>
    <row r="16" spans="1:9" x14ac:dyDescent="0.3">
      <c r="A16" s="1">
        <v>42870</v>
      </c>
      <c r="C16">
        <v>17.89</v>
      </c>
    </row>
    <row r="17" spans="1:9" x14ac:dyDescent="0.3">
      <c r="A17" s="1">
        <v>42871</v>
      </c>
      <c r="B17">
        <v>24.69</v>
      </c>
    </row>
    <row r="18" spans="1:9" x14ac:dyDescent="0.3">
      <c r="A18" s="1">
        <v>42872</v>
      </c>
      <c r="B18">
        <v>2.46</v>
      </c>
    </row>
    <row r="19" spans="1:9" x14ac:dyDescent="0.3">
      <c r="A19" s="1">
        <v>42873</v>
      </c>
      <c r="C19">
        <v>25</v>
      </c>
    </row>
    <row r="20" spans="1:9" x14ac:dyDescent="0.3">
      <c r="A20" s="1">
        <v>42874</v>
      </c>
      <c r="E20">
        <v>33.840000000000003</v>
      </c>
    </row>
    <row r="21" spans="1:9" x14ac:dyDescent="0.3">
      <c r="A21" s="1">
        <v>42875</v>
      </c>
      <c r="B21">
        <v>17.78</v>
      </c>
      <c r="H21">
        <v>63.5</v>
      </c>
      <c r="I21" t="s">
        <v>62</v>
      </c>
    </row>
    <row r="22" spans="1:9" x14ac:dyDescent="0.3">
      <c r="A22" s="1">
        <v>42876</v>
      </c>
      <c r="H22">
        <v>6</v>
      </c>
      <c r="I22" t="s">
        <v>62</v>
      </c>
    </row>
    <row r="23" spans="1:9" x14ac:dyDescent="0.3">
      <c r="A23" s="1">
        <v>42877</v>
      </c>
      <c r="C23">
        <v>24</v>
      </c>
      <c r="D23">
        <v>10.130000000000001</v>
      </c>
      <c r="H23">
        <v>26.59</v>
      </c>
      <c r="I23" t="s">
        <v>63</v>
      </c>
    </row>
    <row r="24" spans="1:9" x14ac:dyDescent="0.3">
      <c r="A24" s="1">
        <v>42878</v>
      </c>
      <c r="H24">
        <v>6.5</v>
      </c>
      <c r="I24" t="s">
        <v>64</v>
      </c>
    </row>
    <row r="25" spans="1:9" x14ac:dyDescent="0.3">
      <c r="A25" s="1"/>
      <c r="H25">
        <v>6</v>
      </c>
      <c r="I25" t="s">
        <v>62</v>
      </c>
    </row>
    <row r="26" spans="1:9" x14ac:dyDescent="0.3">
      <c r="A26" s="1">
        <v>42879</v>
      </c>
      <c r="B26">
        <f>SUM(44.05,25.09)</f>
        <v>69.14</v>
      </c>
      <c r="C26">
        <f>SUM(10.83,11.5)</f>
        <v>22.33</v>
      </c>
      <c r="D26">
        <v>8.11</v>
      </c>
      <c r="H26">
        <v>23</v>
      </c>
      <c r="I26" t="s">
        <v>65</v>
      </c>
    </row>
    <row r="27" spans="1:9" x14ac:dyDescent="0.3">
      <c r="A27" s="1"/>
      <c r="C27">
        <v>70</v>
      </c>
      <c r="H27">
        <v>51</v>
      </c>
      <c r="I27" t="s">
        <v>66</v>
      </c>
    </row>
    <row r="28" spans="1:9" x14ac:dyDescent="0.3">
      <c r="A28" s="1"/>
      <c r="C28">
        <f>SUM(5.25,4.84)</f>
        <v>10.09</v>
      </c>
      <c r="H28">
        <v>14</v>
      </c>
      <c r="I28" t="s">
        <v>62</v>
      </c>
    </row>
    <row r="29" spans="1:9" x14ac:dyDescent="0.3">
      <c r="A29" s="1"/>
    </row>
    <row r="30" spans="1:9" x14ac:dyDescent="0.3">
      <c r="A30" s="1">
        <v>42880</v>
      </c>
    </row>
    <row r="31" spans="1:9" x14ac:dyDescent="0.3">
      <c r="A31" s="1">
        <v>42881</v>
      </c>
    </row>
    <row r="32" spans="1:9" x14ac:dyDescent="0.3">
      <c r="A32" s="1">
        <v>42882</v>
      </c>
    </row>
    <row r="33" spans="1:8" x14ac:dyDescent="0.3">
      <c r="A33" s="1">
        <v>42883</v>
      </c>
    </row>
    <row r="34" spans="1:8" x14ac:dyDescent="0.3">
      <c r="A34" s="1">
        <v>42884</v>
      </c>
    </row>
    <row r="35" spans="1:8" x14ac:dyDescent="0.3">
      <c r="A35" s="1">
        <v>42885</v>
      </c>
    </row>
    <row r="36" spans="1:8" x14ac:dyDescent="0.3">
      <c r="A36" s="1">
        <v>42886</v>
      </c>
    </row>
    <row r="37" spans="1:8" x14ac:dyDescent="0.3">
      <c r="A37" s="1"/>
    </row>
    <row r="38" spans="1:8" x14ac:dyDescent="0.3">
      <c r="A38" t="s">
        <v>17</v>
      </c>
      <c r="B38">
        <f>SUM(B5:B36)</f>
        <v>358.39</v>
      </c>
      <c r="C38">
        <f t="shared" ref="C38:H38" si="0">SUM(C5:C36)</f>
        <v>259.46999999999997</v>
      </c>
      <c r="D38">
        <f t="shared" si="0"/>
        <v>18.240000000000002</v>
      </c>
      <c r="E38">
        <f t="shared" si="0"/>
        <v>70.13</v>
      </c>
      <c r="F38">
        <f t="shared" si="0"/>
        <v>0</v>
      </c>
      <c r="H38">
        <f t="shared" si="0"/>
        <v>505.55999999999995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839A-3B93-4DE0-9A6E-F59AD64910FD}">
  <dimension ref="A1:H33"/>
  <sheetViews>
    <sheetView workbookViewId="0">
      <selection activeCell="H24" sqref="H24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42887</v>
      </c>
      <c r="F2">
        <v>9.99</v>
      </c>
      <c r="G2" t="s">
        <v>20</v>
      </c>
    </row>
    <row r="3" spans="1:8" x14ac:dyDescent="0.3">
      <c r="A3" s="1">
        <v>42888</v>
      </c>
    </row>
    <row r="4" spans="1:8" x14ac:dyDescent="0.3">
      <c r="A4" s="1">
        <v>42889</v>
      </c>
    </row>
    <row r="5" spans="1:8" x14ac:dyDescent="0.3">
      <c r="A5" s="1">
        <v>42890</v>
      </c>
    </row>
    <row r="6" spans="1:8" x14ac:dyDescent="0.3">
      <c r="A6" s="1">
        <v>42891</v>
      </c>
    </row>
    <row r="7" spans="1:8" x14ac:dyDescent="0.3">
      <c r="A7" s="1">
        <v>42892</v>
      </c>
    </row>
    <row r="8" spans="1:8" x14ac:dyDescent="0.3">
      <c r="A8" s="1">
        <v>42893</v>
      </c>
    </row>
    <row r="9" spans="1:8" x14ac:dyDescent="0.3">
      <c r="A9" s="1">
        <v>42894</v>
      </c>
    </row>
    <row r="10" spans="1:8" x14ac:dyDescent="0.3">
      <c r="A10" s="1">
        <v>42895</v>
      </c>
    </row>
    <row r="11" spans="1:8" x14ac:dyDescent="0.3">
      <c r="A11" s="1">
        <v>42896</v>
      </c>
    </row>
    <row r="12" spans="1:8" x14ac:dyDescent="0.3">
      <c r="A12" s="1">
        <v>42897</v>
      </c>
    </row>
    <row r="13" spans="1:8" x14ac:dyDescent="0.3">
      <c r="A13" s="1">
        <v>42898</v>
      </c>
    </row>
    <row r="14" spans="1:8" x14ac:dyDescent="0.3">
      <c r="A14" s="1">
        <v>42899</v>
      </c>
    </row>
    <row r="15" spans="1:8" x14ac:dyDescent="0.3">
      <c r="A15" s="1">
        <v>42900</v>
      </c>
    </row>
    <row r="16" spans="1:8" x14ac:dyDescent="0.3">
      <c r="A16" s="1">
        <v>42901</v>
      </c>
    </row>
    <row r="17" spans="1:5" x14ac:dyDescent="0.3">
      <c r="A17" s="1">
        <v>42902</v>
      </c>
    </row>
    <row r="18" spans="1:5" x14ac:dyDescent="0.3">
      <c r="A18" s="1">
        <v>42903</v>
      </c>
    </row>
    <row r="19" spans="1:5" x14ac:dyDescent="0.3">
      <c r="A19" s="1">
        <v>42904</v>
      </c>
    </row>
    <row r="20" spans="1:5" x14ac:dyDescent="0.3">
      <c r="A20" s="1">
        <v>42905</v>
      </c>
    </row>
    <row r="21" spans="1:5" x14ac:dyDescent="0.3">
      <c r="A21" s="1">
        <v>42906</v>
      </c>
    </row>
    <row r="22" spans="1:5" x14ac:dyDescent="0.3">
      <c r="A22" s="1">
        <v>42907</v>
      </c>
    </row>
    <row r="23" spans="1:5" x14ac:dyDescent="0.3">
      <c r="A23" s="1">
        <v>42908</v>
      </c>
    </row>
    <row r="24" spans="1:5" x14ac:dyDescent="0.3">
      <c r="A24" s="1">
        <v>42909</v>
      </c>
    </row>
    <row r="25" spans="1:5" x14ac:dyDescent="0.3">
      <c r="A25" s="1">
        <v>42910</v>
      </c>
    </row>
    <row r="26" spans="1:5" x14ac:dyDescent="0.3">
      <c r="A26" s="1">
        <v>42911</v>
      </c>
      <c r="C26">
        <f>39 + 40</f>
        <v>79</v>
      </c>
      <c r="E26">
        <v>34.299999999999997</v>
      </c>
    </row>
    <row r="27" spans="1:5" x14ac:dyDescent="0.3">
      <c r="A27" s="1">
        <v>42912</v>
      </c>
      <c r="C27">
        <f xml:space="preserve"> 1.47 + 8.79 + 2.99</f>
        <v>13.25</v>
      </c>
      <c r="E27">
        <f xml:space="preserve"> 36.38 + 30.02</f>
        <v>66.400000000000006</v>
      </c>
    </row>
    <row r="28" spans="1:5" x14ac:dyDescent="0.3">
      <c r="A28" s="1">
        <v>42913</v>
      </c>
      <c r="E28">
        <v>40.03</v>
      </c>
    </row>
    <row r="29" spans="1:5" x14ac:dyDescent="0.3">
      <c r="A29" s="1">
        <v>42914</v>
      </c>
      <c r="B29">
        <v>55.15</v>
      </c>
    </row>
    <row r="30" spans="1:5" x14ac:dyDescent="0.3">
      <c r="A30" s="1">
        <v>42915</v>
      </c>
    </row>
    <row r="31" spans="1:5" x14ac:dyDescent="0.3">
      <c r="A31" s="1">
        <v>42916</v>
      </c>
    </row>
    <row r="32" spans="1:5" x14ac:dyDescent="0.3">
      <c r="A32" s="1"/>
    </row>
    <row r="33" spans="1:8" x14ac:dyDescent="0.3">
      <c r="A33" t="s">
        <v>17</v>
      </c>
      <c r="B33">
        <f>SUM(B4:B31)</f>
        <v>55.15</v>
      </c>
      <c r="C33">
        <f t="shared" ref="C33:H33" si="0">SUM(C4:C31)</f>
        <v>92.25</v>
      </c>
      <c r="D33">
        <f t="shared" si="0"/>
        <v>0</v>
      </c>
      <c r="E33">
        <f t="shared" si="0"/>
        <v>140.73000000000002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06F-F881-4E34-BF73-6AA4C7A6967A}">
  <dimension ref="A1:I34"/>
  <sheetViews>
    <sheetView topLeftCell="A3" workbookViewId="0">
      <selection activeCell="I31" sqref="I31"/>
    </sheetView>
  </sheetViews>
  <sheetFormatPr defaultRowHeight="14.4" x14ac:dyDescent="0.3"/>
  <cols>
    <col min="1" max="1" width="10.5546875" customWidth="1"/>
    <col min="9" max="9" width="17.21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42917</v>
      </c>
      <c r="F2">
        <v>9.99</v>
      </c>
      <c r="G2" t="s">
        <v>20</v>
      </c>
    </row>
    <row r="3" spans="1:9" x14ac:dyDescent="0.3">
      <c r="A3" s="1">
        <v>42918</v>
      </c>
    </row>
    <row r="4" spans="1:9" x14ac:dyDescent="0.3">
      <c r="A4" s="1">
        <v>42919</v>
      </c>
    </row>
    <row r="5" spans="1:9" x14ac:dyDescent="0.3">
      <c r="A5" s="1">
        <v>42920</v>
      </c>
    </row>
    <row r="6" spans="1:9" x14ac:dyDescent="0.3">
      <c r="A6" s="1">
        <v>42921</v>
      </c>
    </row>
    <row r="7" spans="1:9" x14ac:dyDescent="0.3">
      <c r="A7" s="1">
        <v>42922</v>
      </c>
    </row>
    <row r="8" spans="1:9" x14ac:dyDescent="0.3">
      <c r="A8" s="1">
        <v>42923</v>
      </c>
    </row>
    <row r="9" spans="1:9" x14ac:dyDescent="0.3">
      <c r="A9" s="1">
        <v>42924</v>
      </c>
    </row>
    <row r="10" spans="1:9" x14ac:dyDescent="0.3">
      <c r="A10" s="1">
        <v>42925</v>
      </c>
    </row>
    <row r="11" spans="1:9" x14ac:dyDescent="0.3">
      <c r="A11" s="1">
        <v>42926</v>
      </c>
      <c r="C11">
        <v>20.94</v>
      </c>
      <c r="E11">
        <v>28.63</v>
      </c>
      <c r="H11">
        <v>14.24</v>
      </c>
      <c r="I11" t="s">
        <v>25</v>
      </c>
    </row>
    <row r="12" spans="1:9" x14ac:dyDescent="0.3">
      <c r="A12" s="1">
        <v>42927</v>
      </c>
      <c r="C12">
        <v>18.21</v>
      </c>
    </row>
    <row r="13" spans="1:9" x14ac:dyDescent="0.3">
      <c r="A13" s="1">
        <v>42928</v>
      </c>
      <c r="B13">
        <v>7.36</v>
      </c>
      <c r="C13">
        <f>6.27+4.28</f>
        <v>10.55</v>
      </c>
    </row>
    <row r="14" spans="1:9" x14ac:dyDescent="0.3">
      <c r="A14" s="1">
        <v>42929</v>
      </c>
      <c r="B14">
        <f>11.23 + 22.22</f>
        <v>33.450000000000003</v>
      </c>
    </row>
    <row r="15" spans="1:9" x14ac:dyDescent="0.3">
      <c r="A15" s="1">
        <v>42930</v>
      </c>
      <c r="C15">
        <v>53.91</v>
      </c>
    </row>
    <row r="16" spans="1:9" x14ac:dyDescent="0.3">
      <c r="A16" s="1">
        <v>42931</v>
      </c>
      <c r="B16">
        <v>58.14</v>
      </c>
      <c r="C16">
        <f>20.18 + 9.01</f>
        <v>29.189999999999998</v>
      </c>
      <c r="E16">
        <f>11.11+27.26+25.91</f>
        <v>64.28</v>
      </c>
    </row>
    <row r="17" spans="1:9" x14ac:dyDescent="0.3">
      <c r="A17" s="1">
        <v>42932</v>
      </c>
      <c r="C17">
        <v>20.03</v>
      </c>
    </row>
    <row r="18" spans="1:9" x14ac:dyDescent="0.3">
      <c r="A18" s="1">
        <v>42933</v>
      </c>
    </row>
    <row r="19" spans="1:9" x14ac:dyDescent="0.3">
      <c r="A19" s="1">
        <v>42934</v>
      </c>
    </row>
    <row r="20" spans="1:9" x14ac:dyDescent="0.3">
      <c r="A20" s="1">
        <v>42935</v>
      </c>
    </row>
    <row r="21" spans="1:9" x14ac:dyDescent="0.3">
      <c r="A21" s="1">
        <v>42936</v>
      </c>
    </row>
    <row r="22" spans="1:9" x14ac:dyDescent="0.3">
      <c r="A22" s="1">
        <v>42937</v>
      </c>
    </row>
    <row r="23" spans="1:9" x14ac:dyDescent="0.3">
      <c r="A23" s="1">
        <v>42938</v>
      </c>
    </row>
    <row r="24" spans="1:9" x14ac:dyDescent="0.3">
      <c r="A24" s="1">
        <v>42939</v>
      </c>
    </row>
    <row r="25" spans="1:9" x14ac:dyDescent="0.3">
      <c r="A25" s="1">
        <v>42940</v>
      </c>
    </row>
    <row r="26" spans="1:9" x14ac:dyDescent="0.3">
      <c r="A26" s="1">
        <v>42941</v>
      </c>
    </row>
    <row r="27" spans="1:9" x14ac:dyDescent="0.3">
      <c r="A27" s="1">
        <v>42942</v>
      </c>
    </row>
    <row r="28" spans="1:9" x14ac:dyDescent="0.3">
      <c r="A28" s="1">
        <v>42943</v>
      </c>
    </row>
    <row r="29" spans="1:9" x14ac:dyDescent="0.3">
      <c r="A29" s="1">
        <v>42944</v>
      </c>
    </row>
    <row r="30" spans="1:9" x14ac:dyDescent="0.3">
      <c r="A30" s="1">
        <v>42945</v>
      </c>
    </row>
    <row r="31" spans="1:9" x14ac:dyDescent="0.3">
      <c r="A31" s="1">
        <v>42946</v>
      </c>
      <c r="H31">
        <v>846</v>
      </c>
      <c r="I31" t="s">
        <v>26</v>
      </c>
    </row>
    <row r="32" spans="1:9" x14ac:dyDescent="0.3">
      <c r="A32" s="1">
        <v>42947</v>
      </c>
    </row>
    <row r="34" spans="1:8" x14ac:dyDescent="0.3">
      <c r="A34" t="s">
        <v>17</v>
      </c>
      <c r="B34">
        <f>SUM(B5:B32)</f>
        <v>98.95</v>
      </c>
      <c r="C34">
        <f t="shared" ref="C34:H34" si="0">SUM(C5:C32)</f>
        <v>152.83000000000001</v>
      </c>
      <c r="D34">
        <f t="shared" si="0"/>
        <v>0</v>
      </c>
      <c r="E34">
        <f t="shared" si="0"/>
        <v>92.91</v>
      </c>
      <c r="F34">
        <f t="shared" si="0"/>
        <v>0</v>
      </c>
      <c r="H34">
        <f t="shared" si="0"/>
        <v>860.24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76C3-F8D4-4DCF-90F2-5EE3B172BBCE}">
  <dimension ref="A1:I34"/>
  <sheetViews>
    <sheetView workbookViewId="0">
      <selection activeCell="H26" sqref="H26"/>
    </sheetView>
  </sheetViews>
  <sheetFormatPr defaultRowHeight="14.4" x14ac:dyDescent="0.3"/>
  <cols>
    <col min="1" max="1" width="12.21875" customWidth="1"/>
    <col min="9" max="9" width="12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42948</v>
      </c>
      <c r="F2">
        <v>9.99</v>
      </c>
      <c r="G2" t="s">
        <v>20</v>
      </c>
    </row>
    <row r="3" spans="1:8" x14ac:dyDescent="0.3">
      <c r="A3" s="1">
        <v>42949</v>
      </c>
    </row>
    <row r="4" spans="1:8" x14ac:dyDescent="0.3">
      <c r="A4" s="1">
        <v>42950</v>
      </c>
    </row>
    <row r="5" spans="1:8" x14ac:dyDescent="0.3">
      <c r="A5" s="1">
        <v>42951</v>
      </c>
    </row>
    <row r="6" spans="1:8" x14ac:dyDescent="0.3">
      <c r="A6" s="1">
        <v>42952</v>
      </c>
    </row>
    <row r="7" spans="1:8" x14ac:dyDescent="0.3">
      <c r="A7" s="1">
        <v>42953</v>
      </c>
    </row>
    <row r="8" spans="1:8" x14ac:dyDescent="0.3">
      <c r="A8" s="1">
        <v>42954</v>
      </c>
    </row>
    <row r="9" spans="1:8" x14ac:dyDescent="0.3">
      <c r="A9" s="1">
        <v>42955</v>
      </c>
    </row>
    <row r="10" spans="1:8" x14ac:dyDescent="0.3">
      <c r="A10" s="1">
        <v>42956</v>
      </c>
    </row>
    <row r="11" spans="1:8" x14ac:dyDescent="0.3">
      <c r="A11" s="1">
        <v>42957</v>
      </c>
    </row>
    <row r="12" spans="1:8" x14ac:dyDescent="0.3">
      <c r="A12" s="1">
        <v>42958</v>
      </c>
    </row>
    <row r="13" spans="1:8" x14ac:dyDescent="0.3">
      <c r="A13" s="1">
        <v>42959</v>
      </c>
    </row>
    <row r="14" spans="1:8" x14ac:dyDescent="0.3">
      <c r="A14" s="1">
        <v>42960</v>
      </c>
    </row>
    <row r="15" spans="1:8" x14ac:dyDescent="0.3">
      <c r="A15" s="1">
        <v>42961</v>
      </c>
    </row>
    <row r="16" spans="1:8" x14ac:dyDescent="0.3">
      <c r="A16" s="1">
        <v>42962</v>
      </c>
    </row>
    <row r="17" spans="1:9" x14ac:dyDescent="0.3">
      <c r="A17" s="1">
        <v>42963</v>
      </c>
    </row>
    <row r="18" spans="1:9" x14ac:dyDescent="0.3">
      <c r="A18" s="1">
        <v>42964</v>
      </c>
    </row>
    <row r="19" spans="1:9" x14ac:dyDescent="0.3">
      <c r="A19" s="1">
        <v>42965</v>
      </c>
    </row>
    <row r="20" spans="1:9" x14ac:dyDescent="0.3">
      <c r="A20" s="1">
        <v>42966</v>
      </c>
    </row>
    <row r="21" spans="1:9" x14ac:dyDescent="0.3">
      <c r="A21" s="1">
        <v>42967</v>
      </c>
      <c r="H21">
        <f>8.37 + 0.99</f>
        <v>9.36</v>
      </c>
      <c r="I21" t="s">
        <v>27</v>
      </c>
    </row>
    <row r="22" spans="1:9" x14ac:dyDescent="0.3">
      <c r="A22" s="1">
        <v>42968</v>
      </c>
      <c r="H22">
        <v>901.41</v>
      </c>
      <c r="I22" t="s">
        <v>28</v>
      </c>
    </row>
    <row r="23" spans="1:9" x14ac:dyDescent="0.3">
      <c r="A23" s="1">
        <v>42969</v>
      </c>
    </row>
    <row r="24" spans="1:9" x14ac:dyDescent="0.3">
      <c r="A24" s="1">
        <v>42970</v>
      </c>
    </row>
    <row r="25" spans="1:9" x14ac:dyDescent="0.3">
      <c r="A25" s="1">
        <v>42971</v>
      </c>
      <c r="H25">
        <v>144.30000000000001</v>
      </c>
      <c r="I25" t="s">
        <v>30</v>
      </c>
    </row>
    <row r="26" spans="1:9" x14ac:dyDescent="0.3">
      <c r="A26" s="1">
        <v>42972</v>
      </c>
      <c r="H26">
        <v>3.99</v>
      </c>
      <c r="I26" t="s">
        <v>29</v>
      </c>
    </row>
    <row r="27" spans="1:9" x14ac:dyDescent="0.3">
      <c r="A27" s="1">
        <v>42973</v>
      </c>
    </row>
    <row r="28" spans="1:9" x14ac:dyDescent="0.3">
      <c r="A28" s="1">
        <v>42974</v>
      </c>
    </row>
    <row r="29" spans="1:9" x14ac:dyDescent="0.3">
      <c r="A29" s="1">
        <v>42975</v>
      </c>
    </row>
    <row r="30" spans="1:9" x14ac:dyDescent="0.3">
      <c r="A30" s="1">
        <v>42976</v>
      </c>
    </row>
    <row r="31" spans="1:9" x14ac:dyDescent="0.3">
      <c r="A31" s="1">
        <v>42977</v>
      </c>
    </row>
    <row r="32" spans="1:9" x14ac:dyDescent="0.3">
      <c r="A32" s="1">
        <v>42978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1059.06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FF22-2DF4-4619-8161-5B33B51E226E}">
  <dimension ref="A1:I33"/>
  <sheetViews>
    <sheetView topLeftCell="A6" workbookViewId="0">
      <selection activeCell="H21" sqref="H21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42979</v>
      </c>
      <c r="F2">
        <v>9.99</v>
      </c>
      <c r="G2" t="s">
        <v>20</v>
      </c>
    </row>
    <row r="3" spans="1:8" x14ac:dyDescent="0.3">
      <c r="A3" s="1">
        <v>42980</v>
      </c>
    </row>
    <row r="4" spans="1:8" x14ac:dyDescent="0.3">
      <c r="A4" s="1">
        <v>42981</v>
      </c>
    </row>
    <row r="5" spans="1:8" x14ac:dyDescent="0.3">
      <c r="A5" s="1">
        <v>42982</v>
      </c>
    </row>
    <row r="6" spans="1:8" x14ac:dyDescent="0.3">
      <c r="A6" s="1">
        <v>42983</v>
      </c>
    </row>
    <row r="7" spans="1:8" x14ac:dyDescent="0.3">
      <c r="A7" s="1">
        <v>42984</v>
      </c>
    </row>
    <row r="8" spans="1:8" x14ac:dyDescent="0.3">
      <c r="A8" s="1">
        <v>42985</v>
      </c>
    </row>
    <row r="9" spans="1:8" x14ac:dyDescent="0.3">
      <c r="A9" s="1">
        <v>42986</v>
      </c>
    </row>
    <row r="10" spans="1:8" x14ac:dyDescent="0.3">
      <c r="A10" s="1">
        <v>42987</v>
      </c>
    </row>
    <row r="11" spans="1:8" x14ac:dyDescent="0.3">
      <c r="A11" s="1">
        <v>42988</v>
      </c>
    </row>
    <row r="12" spans="1:8" x14ac:dyDescent="0.3">
      <c r="A12" s="1">
        <v>42989</v>
      </c>
    </row>
    <row r="13" spans="1:8" x14ac:dyDescent="0.3">
      <c r="A13" s="1">
        <v>42990</v>
      </c>
    </row>
    <row r="14" spans="1:8" x14ac:dyDescent="0.3">
      <c r="A14" s="1">
        <v>42991</v>
      </c>
    </row>
    <row r="15" spans="1:8" x14ac:dyDescent="0.3">
      <c r="A15" s="1">
        <v>42992</v>
      </c>
      <c r="B15">
        <v>83.9</v>
      </c>
    </row>
    <row r="16" spans="1:8" x14ac:dyDescent="0.3">
      <c r="A16" s="1">
        <v>42993</v>
      </c>
    </row>
    <row r="17" spans="1:9" x14ac:dyDescent="0.3">
      <c r="A17" s="1">
        <v>42994</v>
      </c>
      <c r="B17">
        <v>41.5</v>
      </c>
    </row>
    <row r="18" spans="1:9" x14ac:dyDescent="0.3">
      <c r="A18" s="1">
        <v>42995</v>
      </c>
    </row>
    <row r="19" spans="1:9" x14ac:dyDescent="0.3">
      <c r="A19" s="1">
        <v>42996</v>
      </c>
    </row>
    <row r="20" spans="1:9" x14ac:dyDescent="0.3">
      <c r="A20" s="1">
        <v>42997</v>
      </c>
    </row>
    <row r="21" spans="1:9" x14ac:dyDescent="0.3">
      <c r="A21" s="1">
        <v>42998</v>
      </c>
      <c r="H21">
        <v>11.98</v>
      </c>
      <c r="I21" t="s">
        <v>31</v>
      </c>
    </row>
    <row r="22" spans="1:9" x14ac:dyDescent="0.3">
      <c r="A22" s="1">
        <v>42999</v>
      </c>
    </row>
    <row r="23" spans="1:9" x14ac:dyDescent="0.3">
      <c r="A23" s="1">
        <v>43000</v>
      </c>
    </row>
    <row r="24" spans="1:9" x14ac:dyDescent="0.3">
      <c r="A24" s="1">
        <v>43001</v>
      </c>
    </row>
    <row r="25" spans="1:9" x14ac:dyDescent="0.3">
      <c r="A25" s="1">
        <v>43002</v>
      </c>
    </row>
    <row r="26" spans="1:9" x14ac:dyDescent="0.3">
      <c r="A26" s="1">
        <v>43003</v>
      </c>
    </row>
    <row r="27" spans="1:9" x14ac:dyDescent="0.3">
      <c r="A27" s="1">
        <v>43004</v>
      </c>
    </row>
    <row r="28" spans="1:9" x14ac:dyDescent="0.3">
      <c r="A28" s="1">
        <v>43005</v>
      </c>
    </row>
    <row r="29" spans="1:9" x14ac:dyDescent="0.3">
      <c r="A29" s="1">
        <v>43006</v>
      </c>
    </row>
    <row r="30" spans="1:9" x14ac:dyDescent="0.3">
      <c r="A30" s="1">
        <v>43007</v>
      </c>
    </row>
    <row r="31" spans="1:9" x14ac:dyDescent="0.3">
      <c r="A31" s="1">
        <v>43008</v>
      </c>
    </row>
    <row r="32" spans="1:9" x14ac:dyDescent="0.3">
      <c r="A32" s="1"/>
    </row>
    <row r="33" spans="1:8" x14ac:dyDescent="0.3">
      <c r="A33" t="s">
        <v>17</v>
      </c>
      <c r="B33">
        <f>SUM(B4:B31)</f>
        <v>125.4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11.98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8239-E7F0-4773-AF8E-C4BF37274C68}">
  <dimension ref="A1:I35"/>
  <sheetViews>
    <sheetView workbookViewId="0">
      <selection activeCell="C29" sqref="C29"/>
    </sheetView>
  </sheetViews>
  <sheetFormatPr defaultRowHeight="14.4" x14ac:dyDescent="0.3"/>
  <cols>
    <col min="1" max="1" width="11.21875" customWidth="1"/>
    <col min="9" max="9" width="20.1093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43009</v>
      </c>
      <c r="F2">
        <v>9.99</v>
      </c>
      <c r="G2" t="s">
        <v>20</v>
      </c>
    </row>
    <row r="3" spans="1:9" x14ac:dyDescent="0.3">
      <c r="A3" s="1">
        <v>43010</v>
      </c>
    </row>
    <row r="4" spans="1:9" x14ac:dyDescent="0.3">
      <c r="A4" s="1">
        <v>43011</v>
      </c>
    </row>
    <row r="5" spans="1:9" x14ac:dyDescent="0.3">
      <c r="A5" s="1">
        <v>43012</v>
      </c>
    </row>
    <row r="6" spans="1:9" x14ac:dyDescent="0.3">
      <c r="A6" s="1">
        <v>43013</v>
      </c>
    </row>
    <row r="7" spans="1:9" x14ac:dyDescent="0.3">
      <c r="A7" s="1">
        <v>43014</v>
      </c>
    </row>
    <row r="8" spans="1:9" x14ac:dyDescent="0.3">
      <c r="A8" s="1">
        <v>43015</v>
      </c>
    </row>
    <row r="9" spans="1:9" x14ac:dyDescent="0.3">
      <c r="A9" s="1">
        <v>43016</v>
      </c>
    </row>
    <row r="10" spans="1:9" x14ac:dyDescent="0.3">
      <c r="A10" s="1">
        <v>43017</v>
      </c>
    </row>
    <row r="11" spans="1:9" x14ac:dyDescent="0.3">
      <c r="A11" s="1">
        <v>43018</v>
      </c>
    </row>
    <row r="12" spans="1:9" x14ac:dyDescent="0.3">
      <c r="A12" s="1">
        <v>43019</v>
      </c>
      <c r="E12">
        <v>26.36</v>
      </c>
      <c r="H12">
        <v>11.02</v>
      </c>
      <c r="I12" t="s">
        <v>32</v>
      </c>
    </row>
    <row r="13" spans="1:9" x14ac:dyDescent="0.3">
      <c r="A13" s="1">
        <v>43020</v>
      </c>
      <c r="C13">
        <v>18.12</v>
      </c>
    </row>
    <row r="14" spans="1:9" x14ac:dyDescent="0.3">
      <c r="A14" s="1">
        <v>43021</v>
      </c>
      <c r="B14">
        <v>2.17</v>
      </c>
      <c r="C14">
        <v>50</v>
      </c>
      <c r="E14">
        <v>24.52</v>
      </c>
    </row>
    <row r="15" spans="1:9" x14ac:dyDescent="0.3">
      <c r="A15" s="1">
        <v>43022</v>
      </c>
      <c r="H15">
        <v>9.9</v>
      </c>
      <c r="I15" t="s">
        <v>33</v>
      </c>
    </row>
    <row r="16" spans="1:9" x14ac:dyDescent="0.3">
      <c r="A16" s="1">
        <v>43023</v>
      </c>
      <c r="B16">
        <f>18.45 + 25.3</f>
        <v>43.75</v>
      </c>
      <c r="C16">
        <v>9.83</v>
      </c>
      <c r="E16">
        <v>50.76</v>
      </c>
      <c r="H16">
        <v>16.07</v>
      </c>
      <c r="I16" t="s">
        <v>34</v>
      </c>
    </row>
    <row r="17" spans="1:9" x14ac:dyDescent="0.3">
      <c r="A17" s="1"/>
      <c r="H17">
        <v>8.8699999999999992</v>
      </c>
      <c r="I17" t="s">
        <v>25</v>
      </c>
    </row>
    <row r="18" spans="1:9" x14ac:dyDescent="0.3">
      <c r="A18" s="1">
        <v>43024</v>
      </c>
    </row>
    <row r="19" spans="1:9" x14ac:dyDescent="0.3">
      <c r="A19" s="1">
        <v>43025</v>
      </c>
      <c r="C19">
        <f>11.26 + 3.58</f>
        <v>14.84</v>
      </c>
      <c r="E19">
        <v>38.090000000000003</v>
      </c>
    </row>
    <row r="20" spans="1:9" x14ac:dyDescent="0.3">
      <c r="A20" s="1">
        <v>43026</v>
      </c>
      <c r="C20">
        <v>6.5</v>
      </c>
    </row>
    <row r="21" spans="1:9" x14ac:dyDescent="0.3">
      <c r="A21" s="1">
        <v>43027</v>
      </c>
    </row>
    <row r="22" spans="1:9" x14ac:dyDescent="0.3">
      <c r="A22" s="1">
        <v>43028</v>
      </c>
    </row>
    <row r="23" spans="1:9" x14ac:dyDescent="0.3">
      <c r="A23" s="1">
        <v>43029</v>
      </c>
    </row>
    <row r="24" spans="1:9" x14ac:dyDescent="0.3">
      <c r="A24" s="1">
        <v>43030</v>
      </c>
    </row>
    <row r="25" spans="1:9" x14ac:dyDescent="0.3">
      <c r="A25" s="1">
        <v>43031</v>
      </c>
    </row>
    <row r="26" spans="1:9" x14ac:dyDescent="0.3">
      <c r="A26" s="1">
        <v>43032</v>
      </c>
      <c r="C26">
        <v>4</v>
      </c>
    </row>
    <row r="27" spans="1:9" x14ac:dyDescent="0.3">
      <c r="A27" s="1">
        <v>43033</v>
      </c>
      <c r="H27">
        <v>40</v>
      </c>
      <c r="I27" t="s">
        <v>35</v>
      </c>
    </row>
    <row r="28" spans="1:9" x14ac:dyDescent="0.3">
      <c r="A28" s="1">
        <v>43034</v>
      </c>
      <c r="C28">
        <v>10</v>
      </c>
    </row>
    <row r="29" spans="1:9" x14ac:dyDescent="0.3">
      <c r="A29" s="1">
        <v>43035</v>
      </c>
    </row>
    <row r="30" spans="1:9" x14ac:dyDescent="0.3">
      <c r="A30" s="1">
        <v>43036</v>
      </c>
    </row>
    <row r="31" spans="1:9" x14ac:dyDescent="0.3">
      <c r="A31" s="1">
        <v>43037</v>
      </c>
    </row>
    <row r="32" spans="1:9" x14ac:dyDescent="0.3">
      <c r="A32" s="1">
        <v>43038</v>
      </c>
    </row>
    <row r="33" spans="1:8" x14ac:dyDescent="0.3">
      <c r="A33" s="1">
        <v>43039</v>
      </c>
    </row>
    <row r="34" spans="1:8" x14ac:dyDescent="0.3">
      <c r="B34">
        <f>SUM(B5:B32)</f>
        <v>45.92</v>
      </c>
      <c r="C34">
        <f t="shared" ref="C34:H34" si="0">SUM(C5:C32)</f>
        <v>113.29</v>
      </c>
      <c r="D34">
        <f t="shared" si="0"/>
        <v>0</v>
      </c>
      <c r="E34">
        <f t="shared" si="0"/>
        <v>139.72999999999999</v>
      </c>
      <c r="F34">
        <f t="shared" si="0"/>
        <v>0</v>
      </c>
      <c r="H34">
        <f t="shared" si="0"/>
        <v>85.86</v>
      </c>
    </row>
    <row r="35" spans="1:8" x14ac:dyDescent="0.3">
      <c r="A3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124-532B-41FB-9CCB-941B3AC66AF3}">
  <dimension ref="A1:I33"/>
  <sheetViews>
    <sheetView topLeftCell="A4" workbookViewId="0">
      <selection activeCell="C32" sqref="C32"/>
    </sheetView>
  </sheetViews>
  <sheetFormatPr defaultRowHeight="14.4" x14ac:dyDescent="0.3"/>
  <cols>
    <col min="1" max="1" width="10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43040</v>
      </c>
      <c r="F2">
        <v>9.99</v>
      </c>
      <c r="G2" t="s">
        <v>20</v>
      </c>
    </row>
    <row r="3" spans="1:8" x14ac:dyDescent="0.3">
      <c r="A3" s="1">
        <v>43041</v>
      </c>
    </row>
    <row r="4" spans="1:8" x14ac:dyDescent="0.3">
      <c r="A4" s="1">
        <v>43042</v>
      </c>
    </row>
    <row r="5" spans="1:8" x14ac:dyDescent="0.3">
      <c r="A5" s="1">
        <v>43043</v>
      </c>
    </row>
    <row r="6" spans="1:8" x14ac:dyDescent="0.3">
      <c r="A6" s="1">
        <v>43044</v>
      </c>
    </row>
    <row r="7" spans="1:8" x14ac:dyDescent="0.3">
      <c r="A7" s="1">
        <v>43045</v>
      </c>
    </row>
    <row r="8" spans="1:8" x14ac:dyDescent="0.3">
      <c r="A8" s="1">
        <v>43046</v>
      </c>
    </row>
    <row r="9" spans="1:8" x14ac:dyDescent="0.3">
      <c r="A9" s="1">
        <v>43047</v>
      </c>
    </row>
    <row r="10" spans="1:8" x14ac:dyDescent="0.3">
      <c r="A10" s="1">
        <v>43048</v>
      </c>
    </row>
    <row r="11" spans="1:8" x14ac:dyDescent="0.3">
      <c r="A11" s="1">
        <v>43049</v>
      </c>
    </row>
    <row r="12" spans="1:8" x14ac:dyDescent="0.3">
      <c r="A12" s="1">
        <v>43050</v>
      </c>
    </row>
    <row r="13" spans="1:8" x14ac:dyDescent="0.3">
      <c r="A13" s="1">
        <v>43051</v>
      </c>
    </row>
    <row r="14" spans="1:8" x14ac:dyDescent="0.3">
      <c r="A14" s="1">
        <v>43052</v>
      </c>
    </row>
    <row r="15" spans="1:8" x14ac:dyDescent="0.3">
      <c r="A15" s="1">
        <v>43053</v>
      </c>
    </row>
    <row r="16" spans="1:8" x14ac:dyDescent="0.3">
      <c r="A16" s="1">
        <v>43054</v>
      </c>
    </row>
    <row r="17" spans="1:9" x14ac:dyDescent="0.3">
      <c r="A17" s="1">
        <v>43055</v>
      </c>
      <c r="B17">
        <v>31.78</v>
      </c>
    </row>
    <row r="18" spans="1:9" x14ac:dyDescent="0.3">
      <c r="A18" s="1">
        <v>43056</v>
      </c>
    </row>
    <row r="19" spans="1:9" x14ac:dyDescent="0.3">
      <c r="A19" s="1">
        <v>43057</v>
      </c>
    </row>
    <row r="20" spans="1:9" x14ac:dyDescent="0.3">
      <c r="A20" s="1">
        <v>43058</v>
      </c>
    </row>
    <row r="21" spans="1:9" x14ac:dyDescent="0.3">
      <c r="A21" s="1">
        <v>43059</v>
      </c>
    </row>
    <row r="22" spans="1:9" x14ac:dyDescent="0.3">
      <c r="A22" s="1">
        <v>43060</v>
      </c>
    </row>
    <row r="23" spans="1:9" x14ac:dyDescent="0.3">
      <c r="A23" s="1">
        <v>43061</v>
      </c>
    </row>
    <row r="24" spans="1:9" x14ac:dyDescent="0.3">
      <c r="A24" s="1">
        <v>43062</v>
      </c>
    </row>
    <row r="25" spans="1:9" x14ac:dyDescent="0.3">
      <c r="A25" s="1">
        <v>43063</v>
      </c>
    </row>
    <row r="26" spans="1:9" x14ac:dyDescent="0.3">
      <c r="A26" s="1">
        <v>43064</v>
      </c>
    </row>
    <row r="27" spans="1:9" x14ac:dyDescent="0.3">
      <c r="A27" s="1">
        <v>43065</v>
      </c>
    </row>
    <row r="28" spans="1:9" x14ac:dyDescent="0.3">
      <c r="A28" s="1">
        <v>43066</v>
      </c>
      <c r="E28">
        <v>39.869999999999997</v>
      </c>
      <c r="H28">
        <v>7.98</v>
      </c>
      <c r="I28" t="s">
        <v>21</v>
      </c>
    </row>
    <row r="29" spans="1:9" x14ac:dyDescent="0.3">
      <c r="A29" s="1">
        <v>43067</v>
      </c>
      <c r="C29">
        <v>7.98</v>
      </c>
      <c r="E29">
        <v>42.75</v>
      </c>
    </row>
    <row r="30" spans="1:9" x14ac:dyDescent="0.3">
      <c r="A30" s="1">
        <v>43068</v>
      </c>
      <c r="C30">
        <f>19 + 8.5</f>
        <v>27.5</v>
      </c>
    </row>
    <row r="31" spans="1:9" x14ac:dyDescent="0.3">
      <c r="A31" s="1">
        <v>43069</v>
      </c>
      <c r="C31">
        <v>7.45</v>
      </c>
    </row>
    <row r="32" spans="1:9" x14ac:dyDescent="0.3">
      <c r="A32" s="1"/>
    </row>
    <row r="33" spans="1:8" x14ac:dyDescent="0.3">
      <c r="A33" t="s">
        <v>17</v>
      </c>
      <c r="B33">
        <f>SUM(B4:B31)</f>
        <v>31.78</v>
      </c>
      <c r="C33">
        <f t="shared" ref="C33:H33" si="0">SUM(C4:C31)</f>
        <v>42.930000000000007</v>
      </c>
      <c r="D33">
        <f t="shared" si="0"/>
        <v>0</v>
      </c>
      <c r="E33">
        <f t="shared" si="0"/>
        <v>82.62</v>
      </c>
      <c r="F33">
        <f t="shared" si="0"/>
        <v>0</v>
      </c>
      <c r="H33">
        <f t="shared" si="0"/>
        <v>7.98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B24B-7C85-455E-BA09-1965B0389F58}">
  <dimension ref="A1:H34"/>
  <sheetViews>
    <sheetView workbookViewId="0">
      <selection activeCell="E13" sqref="E13"/>
    </sheetView>
  </sheetViews>
  <sheetFormatPr defaultRowHeight="14.4" x14ac:dyDescent="0.3"/>
  <cols>
    <col min="1" max="1" width="12.2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43070</v>
      </c>
      <c r="F2">
        <v>9.99</v>
      </c>
      <c r="G2" t="s">
        <v>20</v>
      </c>
    </row>
    <row r="3" spans="1:8" x14ac:dyDescent="0.3">
      <c r="A3" s="1">
        <v>43071</v>
      </c>
    </row>
    <row r="4" spans="1:8" x14ac:dyDescent="0.3">
      <c r="A4" s="1">
        <v>43072</v>
      </c>
    </row>
    <row r="5" spans="1:8" x14ac:dyDescent="0.3">
      <c r="A5" s="1">
        <v>43073</v>
      </c>
    </row>
    <row r="6" spans="1:8" x14ac:dyDescent="0.3">
      <c r="A6" s="1">
        <v>43074</v>
      </c>
    </row>
    <row r="7" spans="1:8" x14ac:dyDescent="0.3">
      <c r="A7" s="1">
        <v>43075</v>
      </c>
    </row>
    <row r="8" spans="1:8" x14ac:dyDescent="0.3">
      <c r="A8" s="1">
        <v>43076</v>
      </c>
    </row>
    <row r="9" spans="1:8" x14ac:dyDescent="0.3">
      <c r="A9" s="1">
        <v>43077</v>
      </c>
    </row>
    <row r="10" spans="1:8" x14ac:dyDescent="0.3">
      <c r="A10" s="1">
        <v>43078</v>
      </c>
    </row>
    <row r="11" spans="1:8" x14ac:dyDescent="0.3">
      <c r="A11" s="1">
        <v>43079</v>
      </c>
    </row>
    <row r="12" spans="1:8" x14ac:dyDescent="0.3">
      <c r="A12" s="1">
        <v>43080</v>
      </c>
      <c r="B12">
        <v>23.72</v>
      </c>
      <c r="E12">
        <v>34.200000000000003</v>
      </c>
    </row>
    <row r="13" spans="1:8" x14ac:dyDescent="0.3">
      <c r="A13" s="1">
        <v>43081</v>
      </c>
    </row>
    <row r="14" spans="1:8" x14ac:dyDescent="0.3">
      <c r="A14" s="1">
        <v>43082</v>
      </c>
    </row>
    <row r="15" spans="1:8" x14ac:dyDescent="0.3">
      <c r="A15" s="1">
        <v>43083</v>
      </c>
    </row>
    <row r="16" spans="1:8" x14ac:dyDescent="0.3">
      <c r="A16" s="1">
        <v>43084</v>
      </c>
    </row>
    <row r="17" spans="1:1" x14ac:dyDescent="0.3">
      <c r="A17" s="1">
        <v>43085</v>
      </c>
    </row>
    <row r="18" spans="1:1" x14ac:dyDescent="0.3">
      <c r="A18" s="1">
        <v>43086</v>
      </c>
    </row>
    <row r="19" spans="1:1" x14ac:dyDescent="0.3">
      <c r="A19" s="1">
        <v>43087</v>
      </c>
    </row>
    <row r="20" spans="1:1" x14ac:dyDescent="0.3">
      <c r="A20" s="1">
        <v>43088</v>
      </c>
    </row>
    <row r="21" spans="1:1" x14ac:dyDescent="0.3">
      <c r="A21" s="1">
        <v>43089</v>
      </c>
    </row>
    <row r="22" spans="1:1" x14ac:dyDescent="0.3">
      <c r="A22" s="1">
        <v>43090</v>
      </c>
    </row>
    <row r="23" spans="1:1" x14ac:dyDescent="0.3">
      <c r="A23" s="1">
        <v>43091</v>
      </c>
    </row>
    <row r="24" spans="1:1" x14ac:dyDescent="0.3">
      <c r="A24" s="1">
        <v>43092</v>
      </c>
    </row>
    <row r="25" spans="1:1" x14ac:dyDescent="0.3">
      <c r="A25" s="1">
        <v>43093</v>
      </c>
    </row>
    <row r="26" spans="1:1" x14ac:dyDescent="0.3">
      <c r="A26" s="1">
        <v>43094</v>
      </c>
    </row>
    <row r="27" spans="1:1" x14ac:dyDescent="0.3">
      <c r="A27" s="1">
        <v>43095</v>
      </c>
    </row>
    <row r="28" spans="1:1" x14ac:dyDescent="0.3">
      <c r="A28" s="1">
        <v>43096</v>
      </c>
    </row>
    <row r="29" spans="1:1" x14ac:dyDescent="0.3">
      <c r="A29" s="1">
        <v>43097</v>
      </c>
    </row>
    <row r="30" spans="1:1" x14ac:dyDescent="0.3">
      <c r="A30" s="1">
        <v>43098</v>
      </c>
    </row>
    <row r="31" spans="1:1" x14ac:dyDescent="0.3">
      <c r="A31" s="1">
        <v>43099</v>
      </c>
    </row>
    <row r="32" spans="1:1" x14ac:dyDescent="0.3">
      <c r="A32" s="1">
        <v>43100</v>
      </c>
    </row>
    <row r="34" spans="1:8" x14ac:dyDescent="0.3">
      <c r="A34" t="s">
        <v>17</v>
      </c>
      <c r="B34">
        <f>SUM(B5:B32)</f>
        <v>23.72</v>
      </c>
      <c r="C34">
        <f t="shared" ref="C34:H34" si="0">SUM(C5:C32)</f>
        <v>0</v>
      </c>
      <c r="D34">
        <f t="shared" si="0"/>
        <v>0</v>
      </c>
      <c r="E34">
        <f t="shared" si="0"/>
        <v>34.200000000000003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47B1-9420-4FC2-8543-F1830AEDC699}">
  <dimension ref="A1"/>
  <sheetViews>
    <sheetView workbookViewId="0"/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Christensen</dc:creator>
  <cp:lastModifiedBy>Kevin Christensen</cp:lastModifiedBy>
  <dcterms:created xsi:type="dcterms:W3CDTF">2018-11-30T18:15:43Z</dcterms:created>
  <dcterms:modified xsi:type="dcterms:W3CDTF">2019-03-05T21:56:58Z</dcterms:modified>
</cp:coreProperties>
</file>