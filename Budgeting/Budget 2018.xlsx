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 Christensen\Documents\Budgeting\2018\"/>
    </mc:Choice>
  </mc:AlternateContent>
  <xr:revisionPtr revIDLastSave="0" documentId="13_ncr:1_{F2D59964-9C5B-4CB9-9031-FA38859FCB2D}" xr6:coauthVersionLast="36" xr6:coauthVersionMax="36" xr10:uidLastSave="{00000000-0000-0000-0000-000000000000}"/>
  <bookViews>
    <workbookView xWindow="0" yWindow="0" windowWidth="17256" windowHeight="5652" xr2:uid="{0656B5F8-0B70-4E21-921D-5E34E02F5C01}"/>
  </bookViews>
  <sheets>
    <sheet name="Year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  <sheet name="Sheet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7" i="1" l="1"/>
  <c r="B15" i="1"/>
  <c r="H15" i="1" s="1"/>
  <c r="H17" i="1" s="1"/>
  <c r="C17" i="1"/>
  <c r="D17" i="1"/>
  <c r="E17" i="1"/>
  <c r="F17" i="1"/>
  <c r="C32" i="13"/>
  <c r="C30" i="13"/>
  <c r="C29" i="13"/>
  <c r="C27" i="13"/>
  <c r="C25" i="13"/>
  <c r="C22" i="13"/>
  <c r="E34" i="13" l="1"/>
  <c r="D20" i="13" l="1"/>
  <c r="C20" i="13"/>
  <c r="B20" i="13"/>
  <c r="C19" i="13"/>
  <c r="C18" i="13"/>
  <c r="B18" i="13"/>
  <c r="C16" i="13"/>
  <c r="C11" i="13"/>
  <c r="C9" i="13" l="1"/>
  <c r="G9" i="13"/>
  <c r="F10" i="1" l="1"/>
  <c r="F9" i="1"/>
  <c r="F8" i="1"/>
  <c r="F7" i="1"/>
  <c r="C10" i="1"/>
  <c r="D10" i="1"/>
  <c r="E10" i="1"/>
  <c r="C9" i="1"/>
  <c r="D9" i="1"/>
  <c r="E9" i="1"/>
  <c r="C8" i="1"/>
  <c r="D8" i="1"/>
  <c r="E8" i="1"/>
  <c r="C7" i="1"/>
  <c r="D7" i="1"/>
  <c r="E7" i="1"/>
  <c r="B10" i="1"/>
  <c r="B9" i="1"/>
  <c r="B8" i="1"/>
  <c r="B7" i="1"/>
  <c r="F6" i="1"/>
  <c r="C6" i="1"/>
  <c r="D6" i="1"/>
  <c r="E6" i="1"/>
  <c r="B6" i="1"/>
  <c r="F5" i="1"/>
  <c r="C5" i="1"/>
  <c r="D5" i="1"/>
  <c r="E5" i="1"/>
  <c r="B5" i="1"/>
  <c r="F4" i="1"/>
  <c r="C4" i="1"/>
  <c r="D4" i="1"/>
  <c r="E4" i="1"/>
  <c r="B4" i="1"/>
  <c r="F3" i="1"/>
  <c r="C3" i="1"/>
  <c r="D3" i="1"/>
  <c r="E3" i="1"/>
  <c r="B3" i="1"/>
  <c r="F2" i="1"/>
  <c r="C2" i="1"/>
  <c r="D2" i="1"/>
  <c r="E2" i="1"/>
  <c r="B2" i="1"/>
  <c r="G42" i="11"/>
  <c r="F11" i="1" s="1"/>
  <c r="E42" i="11"/>
  <c r="E11" i="1" s="1"/>
  <c r="D42" i="11"/>
  <c r="D11" i="1" s="1"/>
  <c r="C38" i="11"/>
  <c r="C36" i="11"/>
  <c r="C34" i="11"/>
  <c r="C42" i="11" s="1"/>
  <c r="C11" i="1" s="1"/>
  <c r="B34" i="11"/>
  <c r="B42" i="11" s="1"/>
  <c r="B11" i="1" s="1"/>
  <c r="C32" i="12"/>
  <c r="C25" i="12"/>
  <c r="C23" i="12"/>
  <c r="C21" i="12"/>
  <c r="C17" i="12"/>
  <c r="C13" i="12"/>
  <c r="B13" i="12"/>
  <c r="C11" i="12"/>
  <c r="C7" i="12"/>
  <c r="C4" i="12"/>
  <c r="H9" i="1" l="1"/>
  <c r="G34" i="13"/>
  <c r="F13" i="1" s="1"/>
  <c r="E13" i="1"/>
  <c r="D34" i="13"/>
  <c r="D13" i="1" s="1"/>
  <c r="C34" i="13"/>
  <c r="C13" i="1" s="1"/>
  <c r="B34" i="13"/>
  <c r="B13" i="1" s="1"/>
  <c r="G34" i="12"/>
  <c r="F12" i="1" s="1"/>
  <c r="E34" i="12"/>
  <c r="E12" i="1" s="1"/>
  <c r="D34" i="12"/>
  <c r="D12" i="1" s="1"/>
  <c r="C34" i="12"/>
  <c r="C12" i="1" s="1"/>
  <c r="B34" i="12"/>
  <c r="B12" i="1" s="1"/>
  <c r="H12" i="1" l="1"/>
  <c r="H6" i="1"/>
  <c r="H13" i="1"/>
  <c r="H3" i="1"/>
  <c r="H5" i="1"/>
  <c r="H10" i="1"/>
  <c r="H7" i="1"/>
  <c r="H11" i="1"/>
  <c r="H8" i="1"/>
  <c r="H4" i="1"/>
  <c r="D15" i="1"/>
  <c r="F15" i="1"/>
  <c r="E15" i="1"/>
  <c r="H2" i="1"/>
  <c r="C15" i="1"/>
</calcChain>
</file>

<file path=xl/sharedStrings.xml><?xml version="1.0" encoding="utf-8"?>
<sst xmlns="http://schemas.openxmlformats.org/spreadsheetml/2006/main" count="288" uniqueCount="145">
  <si>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</si>
  <si>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</si>
  <si>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</si>
  <si>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</si>
  <si>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</si>
  <si>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</si>
  <si>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</si>
  <si>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</si>
  <si>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</si>
  <si>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</si>
  <si>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</si>
  <si>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</si>
  <si>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Groceries</t>
  </si>
  <si>
    <t>Eating Out</t>
  </si>
  <si>
    <t>Car</t>
  </si>
  <si>
    <t>Bills</t>
  </si>
  <si>
    <t>Other</t>
  </si>
  <si>
    <t>Totals</t>
  </si>
  <si>
    <t>D</t>
  </si>
  <si>
    <t>Climbing</t>
  </si>
  <si>
    <t>Rent</t>
  </si>
  <si>
    <t>Games</t>
  </si>
  <si>
    <t>Music Supplies</t>
  </si>
  <si>
    <t>MaD Parking fee</t>
  </si>
  <si>
    <t>Transcripts</t>
  </si>
  <si>
    <t>Banff</t>
  </si>
  <si>
    <t>Mouse</t>
  </si>
  <si>
    <t>Internet</t>
  </si>
  <si>
    <t>Alpinism Training</t>
  </si>
  <si>
    <t>Journal</t>
  </si>
  <si>
    <t>Insurance</t>
  </si>
  <si>
    <t>Taxi</t>
  </si>
  <si>
    <t>Spotify</t>
  </si>
  <si>
    <t>Helmet and Goggles</t>
  </si>
  <si>
    <t>rent</t>
  </si>
  <si>
    <t>Portfolio</t>
  </si>
  <si>
    <t>interest</t>
  </si>
  <si>
    <t>Trip Parking fee</t>
  </si>
  <si>
    <t>Climbing Gym yoga</t>
  </si>
  <si>
    <t>Car insurance</t>
  </si>
  <si>
    <t>spotify again?</t>
  </si>
  <si>
    <t>Laptop</t>
  </si>
  <si>
    <t>Insurance - 2 months</t>
  </si>
  <si>
    <t>Helmet</t>
  </si>
  <si>
    <t>totals</t>
  </si>
  <si>
    <t>School books</t>
  </si>
  <si>
    <t>Health Insurance</t>
  </si>
  <si>
    <t>Bday card</t>
  </si>
  <si>
    <t>Phone bill</t>
  </si>
  <si>
    <t>Notebook</t>
  </si>
  <si>
    <t>Climbing gear</t>
  </si>
  <si>
    <t>Guitar and amp</t>
  </si>
  <si>
    <t>Bullshit ATM fees</t>
  </si>
  <si>
    <t>Parking at U</t>
  </si>
  <si>
    <t>School Supplies/ Planner</t>
  </si>
  <si>
    <t>internet</t>
  </si>
  <si>
    <t>Overdraft fee</t>
  </si>
  <si>
    <t>Erin Mingrone</t>
  </si>
  <si>
    <t>Phone Bill</t>
  </si>
  <si>
    <t>Bike tubes</t>
  </si>
  <si>
    <t>Bike Repair</t>
  </si>
  <si>
    <t>Vitamins</t>
  </si>
  <si>
    <t>Gear</t>
  </si>
  <si>
    <t>Shakey Graves</t>
  </si>
  <si>
    <t>Sunscreen</t>
  </si>
  <si>
    <t>paper</t>
  </si>
  <si>
    <t>Phone</t>
  </si>
  <si>
    <t>Car Insurance</t>
  </si>
  <si>
    <t>School Supplies</t>
  </si>
  <si>
    <t>&lt;--(See D3)</t>
  </si>
  <si>
    <t>Oil Change</t>
  </si>
  <si>
    <t>Truck Registration</t>
  </si>
  <si>
    <t>Amazon Prime</t>
  </si>
  <si>
    <t>Picture for Sdawg</t>
  </si>
  <si>
    <t>Bike Derailleur Hanger</t>
  </si>
  <si>
    <t>Haircut</t>
  </si>
  <si>
    <t>Lights</t>
  </si>
  <si>
    <t>Drivers License</t>
  </si>
  <si>
    <t>Health Insurace</t>
  </si>
  <si>
    <t>Amazon purchase</t>
  </si>
  <si>
    <t>Textbook</t>
  </si>
  <si>
    <t>Shantaram</t>
  </si>
  <si>
    <t>Elliott GoFundMe</t>
  </si>
  <si>
    <t>Concert Ticket</t>
  </si>
  <si>
    <t>Pandemic</t>
  </si>
  <si>
    <t>Map</t>
  </si>
  <si>
    <t>Paper</t>
  </si>
  <si>
    <t>Liquor</t>
  </si>
  <si>
    <t>tripod</t>
  </si>
  <si>
    <t>Beard</t>
  </si>
  <si>
    <t>Don't remember</t>
  </si>
  <si>
    <t>haircut</t>
  </si>
  <si>
    <t>BOA Credit card</t>
  </si>
  <si>
    <t>Craigslist post</t>
  </si>
  <si>
    <t>Raspberry Pi</t>
  </si>
  <si>
    <t>School Books</t>
  </si>
  <si>
    <t>Ace Hardware</t>
  </si>
  <si>
    <t>Gas Station</t>
  </si>
  <si>
    <t>Not sure</t>
  </si>
  <si>
    <t>Amazon Something</t>
  </si>
  <si>
    <t>Meds</t>
  </si>
  <si>
    <t>Shirt for Stephanie</t>
  </si>
  <si>
    <t>Stickers</t>
  </si>
  <si>
    <t>Sim card adaptors</t>
  </si>
  <si>
    <t>Pen</t>
  </si>
  <si>
    <t>cash withdrawl</t>
  </si>
  <si>
    <t>Shirt for stephanie for real</t>
  </si>
  <si>
    <t>Pants</t>
  </si>
  <si>
    <t>Eating out</t>
  </si>
  <si>
    <t>toys?</t>
  </si>
  <si>
    <t>Run To The Pub</t>
  </si>
  <si>
    <t>Selway Bitterroot?</t>
  </si>
  <si>
    <t>YNAB</t>
  </si>
  <si>
    <t>Punch Brothers Concert</t>
  </si>
  <si>
    <t>Run race</t>
  </si>
  <si>
    <t>strings</t>
  </si>
  <si>
    <t>taxes</t>
  </si>
  <si>
    <t>Showers in Moab</t>
  </si>
  <si>
    <t>Chalk bag</t>
  </si>
  <si>
    <t>towels at the U</t>
  </si>
  <si>
    <t>walgreens?</t>
  </si>
  <si>
    <t>harness</t>
  </si>
  <si>
    <t>shoes</t>
  </si>
  <si>
    <t>spotify</t>
  </si>
  <si>
    <t>Paula Bauer</t>
  </si>
  <si>
    <t>phone</t>
  </si>
  <si>
    <t>Climbers Coalition</t>
  </si>
  <si>
    <t>Bullet Journal</t>
  </si>
  <si>
    <t>Toys</t>
  </si>
  <si>
    <t>Not Sure</t>
  </si>
  <si>
    <t>Books 4 School</t>
  </si>
  <si>
    <t>Griz Card</t>
  </si>
  <si>
    <t>Hardware Stuff</t>
  </si>
  <si>
    <t>Strings</t>
  </si>
  <si>
    <t>More School Books</t>
  </si>
  <si>
    <t>Averages</t>
  </si>
  <si>
    <t>Game</t>
  </si>
  <si>
    <t>Phone Bill, Nov + Dec</t>
  </si>
  <si>
    <t>Toy</t>
  </si>
  <si>
    <t>Alarm Clock</t>
  </si>
  <si>
    <t>Service Fees</t>
  </si>
  <si>
    <t>Cards</t>
  </si>
  <si>
    <t>Happy lamp</t>
  </si>
  <si>
    <t>Hat/ Christmas pres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</si>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</sst>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[$$-409]#,##0.00;[Red]&quot;-&quot;[$$-409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3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1"/>
    <xf numFmtId="0" fontId="1" fillId="0" borderId="0" xfId="1" applyAlignment="1">
      <alignment horizontal="right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right"/>
    </xf>
    <xf numFmtId="164" fontId="1" fillId="0" borderId="0" xfId="1" applyNumberFormat="1"/>
    <xf numFmtId="0" fontId="4" fillId="0" borderId="0" xfId="1" applyFont="1"/>
    <xf numFmtId="0" fontId="1" fillId="0" borderId="0" xfId="1"/>
    <xf numFmtId="0" fontId="1" fillId="0" borderId="0" xfId="1" applyAlignment="1">
      <alignment horizontal="right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right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right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right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right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right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right"/>
    </xf>
    <xf numFmtId="164" fontId="1" fillId="0" borderId="0" xfId="1" applyNumberFormat="1"/>
  </cellXfs>
  <cellStyles count="6">
    <cellStyle name="Heading" xfId="2" xr:uid="{00000000-0005-0000-0000-00002F000000}"/>
    <cellStyle name="Heading1" xfId="3" xr:uid="{00000000-0005-0000-0000-000030000000}"/>
    <cellStyle name="Normal" xfId="0" builtinId="0"/>
    <cellStyle name="Normal 2" xfId="1" xr:uid="{00000000-0005-0000-0000-000031000000}"/>
    <cellStyle name="Result" xfId="4" xr:uid="{00000000-0005-0000-0000-000032000000}"/>
    <cellStyle name="Result2" xfId="5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050B-9BBB-4B51-BC84-3B95012599D7}">
  <dimension ref="A1:H17"/>
  <sheetViews>
    <sheetView tabSelected="1" workbookViewId="0">
      <selection activeCell="B18" sqref="B18"/>
    </sheetView>
  </sheetViews>
  <sheetFormatPr defaultRowHeight="14.4" x14ac:dyDescent="0.3"/>
  <cols>
    <col min="1" max="1" width="10.5546875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F1" t="s">
        <v>16</v>
      </c>
      <c r="H1" t="s">
        <v>17</v>
      </c>
    </row>
    <row r="2" spans="1:8" x14ac:dyDescent="0.3">
      <c r="A2" t="s">
        <v>0</v>
      </c>
      <c r="B2">
        <f>January!B36</f>
        <v>51.1</v>
      </c>
      <c r="C2">
        <f>January!C36</f>
        <v>110.63</v>
      </c>
      <c r="D2">
        <f>January!D36</f>
        <v>41.79</v>
      </c>
      <c r="E2">
        <f>January!E36</f>
        <v>700.97</v>
      </c>
      <c r="F2">
        <f>January!G36</f>
        <v>194.02</v>
      </c>
      <c r="H2">
        <f t="shared" ref="H2:H13" si="0">SUM(B2:F2)</f>
        <v>1098.51</v>
      </c>
    </row>
    <row r="3" spans="1:8" x14ac:dyDescent="0.3">
      <c r="A3" t="s">
        <v>1</v>
      </c>
      <c r="B3">
        <f>February!B44</f>
        <v>67.349999999999994</v>
      </c>
      <c r="C3">
        <f>February!C44</f>
        <v>293.79000000000002</v>
      </c>
      <c r="D3">
        <f>February!D44</f>
        <v>60.16</v>
      </c>
      <c r="E3">
        <f>February!E44</f>
        <v>715.96</v>
      </c>
      <c r="F3">
        <f>February!G44</f>
        <v>267.47000000000003</v>
      </c>
      <c r="H3">
        <f t="shared" si="0"/>
        <v>1404.73</v>
      </c>
    </row>
    <row r="4" spans="1:8" x14ac:dyDescent="0.3">
      <c r="A4" t="s">
        <v>2</v>
      </c>
      <c r="B4">
        <f>March!B46</f>
        <v>257.29000000000002</v>
      </c>
      <c r="C4">
        <f>March!C46</f>
        <v>401.85</v>
      </c>
      <c r="D4">
        <f>March!D46</f>
        <v>111.32</v>
      </c>
      <c r="E4">
        <f>March!E46</f>
        <v>1010.47</v>
      </c>
      <c r="F4">
        <f>March!G46</f>
        <v>403.83</v>
      </c>
      <c r="H4">
        <f t="shared" si="0"/>
        <v>2184.7600000000002</v>
      </c>
    </row>
    <row r="5" spans="1:8" x14ac:dyDescent="0.3">
      <c r="A5" t="s">
        <v>3</v>
      </c>
      <c r="B5">
        <f>April!B45</f>
        <v>146.68</v>
      </c>
      <c r="C5">
        <f>April!C45</f>
        <v>335.07</v>
      </c>
      <c r="D5">
        <f>April!D45</f>
        <v>166.98</v>
      </c>
      <c r="E5">
        <f>April!E45</f>
        <v>698.26</v>
      </c>
      <c r="F5">
        <f>April!G45</f>
        <v>398.11</v>
      </c>
      <c r="H5">
        <f t="shared" si="0"/>
        <v>1745.1</v>
      </c>
    </row>
    <row r="6" spans="1:8" x14ac:dyDescent="0.3">
      <c r="A6" t="s">
        <v>4</v>
      </c>
      <c r="B6">
        <f>May!B39</f>
        <v>190.1</v>
      </c>
      <c r="C6">
        <f>May!C39</f>
        <v>213.07</v>
      </c>
      <c r="D6">
        <f>May!D39</f>
        <v>41.8</v>
      </c>
      <c r="E6">
        <f>May!E39</f>
        <v>795.95</v>
      </c>
      <c r="F6">
        <f>May!G39</f>
        <v>454.65</v>
      </c>
      <c r="H6">
        <f t="shared" si="0"/>
        <v>1695.5700000000002</v>
      </c>
    </row>
    <row r="7" spans="1:8" x14ac:dyDescent="0.3">
      <c r="A7" t="s">
        <v>5</v>
      </c>
      <c r="B7">
        <f>June!B46</f>
        <v>105.37</v>
      </c>
      <c r="C7">
        <f>June!C46</f>
        <v>290.31</v>
      </c>
      <c r="D7">
        <f>June!D46</f>
        <v>136.02000000000001</v>
      </c>
      <c r="E7">
        <f>June!E46</f>
        <v>793.44</v>
      </c>
      <c r="F7">
        <f>June!G46</f>
        <v>215.99</v>
      </c>
      <c r="H7">
        <f t="shared" si="0"/>
        <v>1541.13</v>
      </c>
    </row>
    <row r="8" spans="1:8" x14ac:dyDescent="0.3">
      <c r="A8" t="s">
        <v>6</v>
      </c>
      <c r="B8">
        <f>July!B47</f>
        <v>142.61000000000001</v>
      </c>
      <c r="C8">
        <f>July!C47</f>
        <v>410.16</v>
      </c>
      <c r="D8">
        <f>July!D47</f>
        <v>158.41999999999999</v>
      </c>
      <c r="E8">
        <f>July!E47</f>
        <v>842.51</v>
      </c>
      <c r="F8">
        <f>July!G47</f>
        <v>402.45</v>
      </c>
      <c r="H8">
        <f t="shared" si="0"/>
        <v>1956.1499999999999</v>
      </c>
    </row>
    <row r="9" spans="1:8" x14ac:dyDescent="0.3">
      <c r="A9" t="s">
        <v>7</v>
      </c>
      <c r="B9">
        <f>August!B43</f>
        <v>206.52</v>
      </c>
      <c r="C9">
        <f>August!C43</f>
        <v>266.95999999999998</v>
      </c>
      <c r="D9">
        <f>August!D43</f>
        <v>198.61</v>
      </c>
      <c r="E9">
        <f>August!E43</f>
        <v>841.59</v>
      </c>
      <c r="F9">
        <f>August!G43</f>
        <v>221.11</v>
      </c>
      <c r="H9">
        <f t="shared" si="0"/>
        <v>1734.79</v>
      </c>
    </row>
    <row r="10" spans="1:8" x14ac:dyDescent="0.3">
      <c r="A10" t="s">
        <v>8</v>
      </c>
      <c r="B10">
        <f>September!B45</f>
        <v>46.78</v>
      </c>
      <c r="C10">
        <f>September!C45</f>
        <v>340.49</v>
      </c>
      <c r="D10">
        <f>September!D45</f>
        <v>46.96</v>
      </c>
      <c r="E10">
        <f>September!E45</f>
        <v>832.33</v>
      </c>
      <c r="F10">
        <f>September!G45</f>
        <v>624.08000000000004</v>
      </c>
      <c r="H10">
        <f t="shared" si="0"/>
        <v>1890.6399999999999</v>
      </c>
    </row>
    <row r="11" spans="1:8" x14ac:dyDescent="0.3">
      <c r="A11" t="s">
        <v>9</v>
      </c>
      <c r="B11">
        <f>October!B42</f>
        <v>67.89</v>
      </c>
      <c r="C11">
        <f>October!C42</f>
        <v>332.75999999999993</v>
      </c>
      <c r="D11">
        <f>October!D42</f>
        <v>22.55</v>
      </c>
      <c r="E11">
        <f>October!E42</f>
        <v>886.35</v>
      </c>
      <c r="F11">
        <f>October!G42</f>
        <v>1012.88</v>
      </c>
      <c r="H11">
        <f t="shared" si="0"/>
        <v>2322.4299999999998</v>
      </c>
    </row>
    <row r="12" spans="1:8" x14ac:dyDescent="0.3">
      <c r="A12" t="s">
        <v>10</v>
      </c>
      <c r="B12">
        <f>November!B34</f>
        <v>115</v>
      </c>
      <c r="C12">
        <f>November!C34</f>
        <v>333.08</v>
      </c>
      <c r="D12">
        <f>November!D34</f>
        <v>47.61</v>
      </c>
      <c r="E12">
        <f>November!E34</f>
        <v>693.36</v>
      </c>
      <c r="F12">
        <f>November!G34</f>
        <v>439.58</v>
      </c>
      <c r="H12">
        <f t="shared" si="0"/>
        <v>1628.6299999999999</v>
      </c>
    </row>
    <row r="13" spans="1:8" x14ac:dyDescent="0.3">
      <c r="A13" t="s">
        <v>11</v>
      </c>
      <c r="B13">
        <f>December!B34</f>
        <v>196.06</v>
      </c>
      <c r="C13">
        <f>December!C34</f>
        <v>392.72</v>
      </c>
      <c r="D13">
        <f>December!D34</f>
        <v>115.75</v>
      </c>
      <c r="E13">
        <f>December!E34</f>
        <v>809.1400000000001</v>
      </c>
      <c r="F13">
        <f>December!G34</f>
        <v>255.09000000000003</v>
      </c>
      <c r="H13">
        <f t="shared" si="0"/>
        <v>1768.7600000000002</v>
      </c>
    </row>
    <row r="15" spans="1:8" x14ac:dyDescent="0.3">
      <c r="A15" t="s">
        <v>17</v>
      </c>
      <c r="B15">
        <f>SUM(B2:B13)</f>
        <v>1592.7500000000002</v>
      </c>
      <c r="C15">
        <f t="shared" ref="C15:F15" si="1">SUM(C2:C13)</f>
        <v>3720.8899999999994</v>
      </c>
      <c r="D15">
        <f t="shared" si="1"/>
        <v>1147.97</v>
      </c>
      <c r="E15">
        <f t="shared" si="1"/>
        <v>9620.33</v>
      </c>
      <c r="F15">
        <f t="shared" si="1"/>
        <v>4889.26</v>
      </c>
      <c r="H15">
        <f>SUM(B15:F15)</f>
        <v>20971.199999999997</v>
      </c>
    </row>
    <row r="17" spans="1:8" x14ac:dyDescent="0.3">
      <c r="A17" t="s">
        <v>135</v>
      </c>
      <c r="B17">
        <f>QUOTIENT(SUM(B2:B13),12)</f>
        <v>132</v>
      </c>
      <c r="C17">
        <f t="shared" ref="B17:E17" si="2">QUOTIENT(SUM(C2:C13),12)</f>
        <v>310</v>
      </c>
      <c r="D17">
        <f t="shared" si="2"/>
        <v>95</v>
      </c>
      <c r="E17">
        <f t="shared" si="2"/>
        <v>801</v>
      </c>
      <c r="F17">
        <f>QUOTIENT(SUM(F2:F13),12)</f>
        <v>407</v>
      </c>
      <c r="H17">
        <f>QUOTIENT(H15,12)</f>
        <v>1747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9676-C981-449E-AF95-B1FE37DA74B3}">
  <dimension ref="A1:H36"/>
  <sheetViews>
    <sheetView topLeftCell="A18" workbookViewId="0">
      <selection activeCell="A2" sqref="A2:H36"/>
    </sheetView>
  </sheetViews>
  <sheetFormatPr defaultRowHeight="14.4" x14ac:dyDescent="0.3"/>
  <cols>
    <col min="1" max="1" width="9.5546875" bestFit="1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31">
        <v>43101</v>
      </c>
      <c r="B2" s="29"/>
      <c r="C2" s="29"/>
      <c r="D2" s="29"/>
      <c r="E2" s="29">
        <v>44.99</v>
      </c>
      <c r="F2" s="29" t="s">
        <v>55</v>
      </c>
      <c r="G2" s="29"/>
      <c r="H2" s="29"/>
    </row>
    <row r="3" spans="1:8" x14ac:dyDescent="0.3">
      <c r="A3" s="31">
        <v>43102</v>
      </c>
      <c r="B3" s="29"/>
      <c r="C3" s="29"/>
      <c r="D3" s="29"/>
      <c r="E3" s="29">
        <v>9.99</v>
      </c>
      <c r="F3" s="29" t="s">
        <v>123</v>
      </c>
      <c r="G3" s="29"/>
      <c r="H3" s="29"/>
    </row>
    <row r="4" spans="1:8" x14ac:dyDescent="0.3">
      <c r="A4" s="31">
        <v>43103</v>
      </c>
      <c r="B4" s="29"/>
      <c r="C4" s="29">
        <v>16</v>
      </c>
      <c r="D4" s="29"/>
      <c r="E4" s="29">
        <v>70</v>
      </c>
      <c r="F4" s="29" t="s">
        <v>125</v>
      </c>
      <c r="G4" s="29"/>
      <c r="H4" s="29"/>
    </row>
    <row r="5" spans="1:8" x14ac:dyDescent="0.3">
      <c r="A5" s="31">
        <v>43104</v>
      </c>
      <c r="B5" s="29">
        <v>7.49</v>
      </c>
      <c r="C5" s="29"/>
      <c r="D5" s="29"/>
      <c r="E5" s="29">
        <v>565</v>
      </c>
      <c r="F5" s="29" t="s">
        <v>34</v>
      </c>
      <c r="G5" s="29"/>
      <c r="H5" s="29"/>
    </row>
    <row r="6" spans="1:8" x14ac:dyDescent="0.3">
      <c r="A6" s="31">
        <v>43105</v>
      </c>
      <c r="B6" s="29"/>
      <c r="C6" s="29">
        <v>14</v>
      </c>
      <c r="D6" s="29"/>
      <c r="E6" s="29"/>
      <c r="F6" s="29"/>
      <c r="G6" s="29"/>
      <c r="H6" s="29"/>
    </row>
    <row r="7" spans="1:8" x14ac:dyDescent="0.3">
      <c r="A7" s="31">
        <v>43106</v>
      </c>
      <c r="B7" s="29"/>
      <c r="C7" s="29">
        <v>5.5</v>
      </c>
      <c r="D7" s="29"/>
      <c r="E7" s="29"/>
      <c r="F7" s="29"/>
      <c r="G7" s="29"/>
      <c r="H7" s="29"/>
    </row>
    <row r="8" spans="1:8" x14ac:dyDescent="0.3">
      <c r="A8" s="31">
        <v>43107</v>
      </c>
      <c r="B8" s="29"/>
      <c r="C8" s="29"/>
      <c r="D8" s="29"/>
      <c r="E8" s="29"/>
      <c r="F8" s="29"/>
      <c r="G8" s="29"/>
      <c r="H8" s="29"/>
    </row>
    <row r="9" spans="1:8" x14ac:dyDescent="0.3">
      <c r="A9" s="31">
        <v>43108</v>
      </c>
      <c r="B9" s="29"/>
      <c r="C9" s="29"/>
      <c r="D9" s="29"/>
      <c r="E9" s="29"/>
      <c r="F9" s="29"/>
      <c r="G9" s="29">
        <v>10</v>
      </c>
      <c r="H9" s="29" t="s">
        <v>126</v>
      </c>
    </row>
    <row r="10" spans="1:8" x14ac:dyDescent="0.3">
      <c r="A10" s="31">
        <v>43109</v>
      </c>
      <c r="B10" s="29"/>
      <c r="C10" s="29"/>
      <c r="D10" s="29"/>
      <c r="E10" s="29"/>
      <c r="F10" s="29"/>
      <c r="G10" s="29"/>
      <c r="H10" s="29"/>
    </row>
    <row r="11" spans="1:8" x14ac:dyDescent="0.3">
      <c r="A11" s="31">
        <v>43110</v>
      </c>
      <c r="B11" s="29"/>
      <c r="C11" s="29"/>
      <c r="D11" s="29"/>
      <c r="E11" s="29"/>
      <c r="F11" s="29"/>
      <c r="G11" s="29">
        <v>28.91</v>
      </c>
      <c r="H11" s="29" t="s">
        <v>127</v>
      </c>
    </row>
    <row r="12" spans="1:8" x14ac:dyDescent="0.3">
      <c r="A12" s="31">
        <v>43111</v>
      </c>
      <c r="B12" s="29"/>
      <c r="C12" s="29"/>
      <c r="D12" s="29"/>
      <c r="E12" s="29"/>
      <c r="F12" s="29"/>
      <c r="G12" s="29"/>
      <c r="H12" s="29"/>
    </row>
    <row r="13" spans="1:8" x14ac:dyDescent="0.3">
      <c r="A13" s="31">
        <v>43112</v>
      </c>
      <c r="B13" s="29">
        <v>24.14</v>
      </c>
      <c r="C13" s="29"/>
      <c r="D13" s="29"/>
      <c r="E13" s="29"/>
      <c r="F13" s="29"/>
      <c r="G13" s="29">
        <v>12.27</v>
      </c>
      <c r="H13" s="29" t="s">
        <v>128</v>
      </c>
    </row>
    <row r="14" spans="1:8" x14ac:dyDescent="0.3">
      <c r="A14" s="31">
        <v>43113</v>
      </c>
      <c r="B14" s="29"/>
      <c r="C14" s="29"/>
      <c r="D14" s="29"/>
      <c r="E14" s="29"/>
      <c r="F14" s="29"/>
      <c r="G14" s="29">
        <v>5</v>
      </c>
      <c r="H14" s="29" t="s">
        <v>129</v>
      </c>
    </row>
    <row r="15" spans="1:8" x14ac:dyDescent="0.3">
      <c r="A15" s="31">
        <v>43114</v>
      </c>
      <c r="B15" s="29"/>
      <c r="C15" s="29"/>
      <c r="D15" s="29"/>
      <c r="E15" s="29"/>
      <c r="F15" s="29"/>
      <c r="G15" s="29"/>
      <c r="H15" s="29"/>
    </row>
    <row r="16" spans="1:8" x14ac:dyDescent="0.3">
      <c r="A16" s="31">
        <v>43115</v>
      </c>
      <c r="B16" s="29"/>
      <c r="C16" s="29"/>
      <c r="D16" s="29">
        <v>39.79</v>
      </c>
      <c r="E16" s="29"/>
      <c r="F16" s="29"/>
      <c r="G16" s="29"/>
      <c r="H16" s="29"/>
    </row>
    <row r="17" spans="1:8" x14ac:dyDescent="0.3">
      <c r="A17" s="31">
        <v>43116</v>
      </c>
      <c r="B17" s="29"/>
      <c r="C17" s="29"/>
      <c r="D17" s="29"/>
      <c r="E17" s="29"/>
      <c r="F17" s="29"/>
      <c r="G17" s="29">
        <v>30.81</v>
      </c>
      <c r="H17" s="29" t="s">
        <v>130</v>
      </c>
    </row>
    <row r="18" spans="1:8" x14ac:dyDescent="0.3">
      <c r="A18" s="31">
        <v>43117</v>
      </c>
      <c r="B18" s="29">
        <v>12.48</v>
      </c>
      <c r="C18" s="29"/>
      <c r="D18" s="29"/>
      <c r="E18" s="29"/>
      <c r="F18" s="29"/>
      <c r="G18" s="29"/>
      <c r="H18" s="29"/>
    </row>
    <row r="19" spans="1:8" x14ac:dyDescent="0.3">
      <c r="A19" s="31">
        <v>43118</v>
      </c>
      <c r="B19" s="29"/>
      <c r="C19" s="29"/>
      <c r="D19" s="29">
        <v>2</v>
      </c>
      <c r="E19" s="29"/>
      <c r="F19" s="29"/>
      <c r="G19" s="29"/>
      <c r="H19" s="29"/>
    </row>
    <row r="20" spans="1:8" x14ac:dyDescent="0.3">
      <c r="A20" s="31">
        <v>43119</v>
      </c>
      <c r="B20" s="29"/>
      <c r="C20" s="29"/>
      <c r="D20" s="29"/>
      <c r="E20" s="29"/>
      <c r="F20" s="29"/>
      <c r="G20" s="29">
        <v>15</v>
      </c>
      <c r="H20" s="29" t="s">
        <v>131</v>
      </c>
    </row>
    <row r="21" spans="1:8" x14ac:dyDescent="0.3">
      <c r="A21" s="31">
        <v>43120</v>
      </c>
      <c r="B21" s="29"/>
      <c r="C21" s="29"/>
      <c r="D21" s="29"/>
      <c r="E21" s="29"/>
      <c r="F21" s="29"/>
      <c r="G21" s="29"/>
      <c r="H21" s="29"/>
    </row>
    <row r="22" spans="1:8" x14ac:dyDescent="0.3">
      <c r="A22" s="31">
        <v>43121</v>
      </c>
      <c r="B22" s="29"/>
      <c r="C22" s="29">
        <v>11</v>
      </c>
      <c r="D22" s="29"/>
      <c r="E22" s="29"/>
      <c r="F22" s="29"/>
      <c r="G22" s="29">
        <v>8.7799999999999994</v>
      </c>
      <c r="H22" s="29" t="s">
        <v>132</v>
      </c>
    </row>
    <row r="23" spans="1:8" x14ac:dyDescent="0.3">
      <c r="A23" s="31"/>
      <c r="B23" s="29"/>
      <c r="C23" s="29">
        <v>8.1300000000000008</v>
      </c>
      <c r="D23" s="29"/>
      <c r="E23" s="29"/>
      <c r="F23" s="29"/>
      <c r="G23" s="29"/>
      <c r="H23" s="29"/>
    </row>
    <row r="24" spans="1:8" x14ac:dyDescent="0.3">
      <c r="A24" s="31">
        <v>43122</v>
      </c>
      <c r="B24" s="29"/>
      <c r="C24" s="29"/>
      <c r="D24" s="29"/>
      <c r="E24" s="29"/>
      <c r="F24" s="29"/>
      <c r="G24" s="29">
        <v>27</v>
      </c>
      <c r="H24" s="29" t="s">
        <v>133</v>
      </c>
    </row>
    <row r="25" spans="1:8" x14ac:dyDescent="0.3">
      <c r="A25" s="31">
        <v>43123</v>
      </c>
      <c r="B25" s="29"/>
      <c r="C25" s="29"/>
      <c r="D25" s="29"/>
      <c r="E25" s="29"/>
      <c r="F25" s="29"/>
      <c r="G25" s="29">
        <v>56.25</v>
      </c>
      <c r="H25" s="29" t="s">
        <v>134</v>
      </c>
    </row>
    <row r="26" spans="1:8" x14ac:dyDescent="0.3">
      <c r="A26" s="31">
        <v>43124</v>
      </c>
      <c r="B26" s="29"/>
      <c r="C26" s="29">
        <v>11</v>
      </c>
      <c r="D26" s="29"/>
      <c r="E26" s="29"/>
      <c r="F26" s="29"/>
      <c r="G26" s="29"/>
      <c r="H26" s="29"/>
    </row>
    <row r="27" spans="1:8" x14ac:dyDescent="0.3">
      <c r="A27" s="31">
        <v>43125</v>
      </c>
      <c r="B27" s="29"/>
      <c r="C27" s="29"/>
      <c r="D27" s="29"/>
      <c r="E27" s="29"/>
      <c r="F27" s="29"/>
      <c r="G27" s="29"/>
      <c r="H27" s="29"/>
    </row>
    <row r="28" spans="1:8" x14ac:dyDescent="0.3">
      <c r="A28" s="31">
        <v>43126</v>
      </c>
      <c r="B28" s="29"/>
      <c r="C28" s="29"/>
      <c r="D28" s="29"/>
      <c r="E28" s="29">
        <v>10.99</v>
      </c>
      <c r="F28" s="29" t="s">
        <v>72</v>
      </c>
      <c r="G28" s="29"/>
      <c r="H28" s="29"/>
    </row>
    <row r="29" spans="1:8" x14ac:dyDescent="0.3">
      <c r="A29" s="31">
        <v>43127</v>
      </c>
      <c r="B29" s="29">
        <v>6.99</v>
      </c>
      <c r="C29" s="29"/>
      <c r="D29" s="29"/>
      <c r="E29" s="29"/>
      <c r="F29" s="29"/>
      <c r="G29" s="29"/>
      <c r="H29" s="29"/>
    </row>
    <row r="30" spans="1:8" x14ac:dyDescent="0.3">
      <c r="A30" s="31">
        <v>43128</v>
      </c>
      <c r="B30" s="29"/>
      <c r="C30" s="29"/>
      <c r="D30" s="29"/>
      <c r="E30" s="29"/>
      <c r="F30" s="29"/>
      <c r="G30" s="29"/>
      <c r="H30" s="29"/>
    </row>
    <row r="31" spans="1:8" x14ac:dyDescent="0.3">
      <c r="A31" s="31">
        <v>43129</v>
      </c>
      <c r="B31" s="29"/>
      <c r="C31" s="29"/>
      <c r="D31" s="29"/>
      <c r="E31" s="29"/>
      <c r="F31" s="29"/>
      <c r="G31" s="29"/>
      <c r="H31" s="29"/>
    </row>
    <row r="32" spans="1:8" x14ac:dyDescent="0.3">
      <c r="A32" s="31">
        <v>43130</v>
      </c>
      <c r="B32" s="29"/>
      <c r="C32" s="29">
        <v>10</v>
      </c>
      <c r="D32" s="29"/>
      <c r="E32" s="29"/>
      <c r="F32" s="29"/>
      <c r="G32" s="29"/>
      <c r="H32" s="29"/>
    </row>
    <row r="33" spans="1:7" x14ac:dyDescent="0.3">
      <c r="A33" s="31"/>
      <c r="B33" s="29"/>
      <c r="C33" s="29">
        <v>15</v>
      </c>
      <c r="D33" s="29"/>
      <c r="E33" s="29"/>
      <c r="F33" s="29"/>
      <c r="G33" s="29"/>
    </row>
    <row r="34" spans="1:7" x14ac:dyDescent="0.3">
      <c r="A34" s="31">
        <v>43131</v>
      </c>
      <c r="B34" s="29"/>
      <c r="C34" s="29">
        <v>20</v>
      </c>
      <c r="D34" s="29"/>
      <c r="E34" s="29"/>
      <c r="F34" s="29"/>
      <c r="G34" s="29"/>
    </row>
    <row r="36" spans="1:7" x14ac:dyDescent="0.3">
      <c r="A36" s="29" t="s">
        <v>44</v>
      </c>
      <c r="B36" s="29">
        <v>51.1</v>
      </c>
      <c r="C36" s="29">
        <v>110.63</v>
      </c>
      <c r="D36" s="29">
        <v>41.79</v>
      </c>
      <c r="E36" s="30">
        <v>700.97</v>
      </c>
      <c r="F36" s="29"/>
      <c r="G36" s="29">
        <v>194.02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9BED-DBA1-4086-954F-3AA347C0FEAE}">
  <dimension ref="A1:H44"/>
  <sheetViews>
    <sheetView topLeftCell="A37" workbookViewId="0">
      <selection activeCell="A2" sqref="A2:H44"/>
    </sheetView>
  </sheetViews>
  <sheetFormatPr defaultRowHeight="14.4" x14ac:dyDescent="0.3"/>
  <cols>
    <col min="1" max="1" width="10.6640625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28">
        <v>43132</v>
      </c>
      <c r="B2" s="26"/>
      <c r="C2" s="26">
        <v>7.45</v>
      </c>
      <c r="D2" s="26"/>
      <c r="E2" s="26">
        <v>9.99</v>
      </c>
      <c r="F2" s="26" t="s">
        <v>32</v>
      </c>
      <c r="G2" s="26"/>
      <c r="H2" s="26"/>
    </row>
    <row r="3" spans="1:8" x14ac:dyDescent="0.3">
      <c r="A3" s="28"/>
      <c r="B3" s="26"/>
      <c r="C3" s="26"/>
      <c r="D3" s="26"/>
      <c r="E3" s="26">
        <v>67</v>
      </c>
      <c r="F3" s="26" t="s">
        <v>66</v>
      </c>
      <c r="G3" s="26"/>
      <c r="H3" s="26"/>
    </row>
    <row r="4" spans="1:8" x14ac:dyDescent="0.3">
      <c r="A4" s="28">
        <v>43133</v>
      </c>
      <c r="B4" s="26"/>
      <c r="C4" s="26">
        <v>10</v>
      </c>
      <c r="D4" s="26"/>
      <c r="E4" s="26">
        <v>565</v>
      </c>
      <c r="F4" s="26" t="s">
        <v>20</v>
      </c>
      <c r="G4" s="26"/>
      <c r="H4" s="26"/>
    </row>
    <row r="5" spans="1:8" x14ac:dyDescent="0.3">
      <c r="A5" s="28">
        <v>43134</v>
      </c>
      <c r="B5" s="26"/>
      <c r="C5" s="26"/>
      <c r="D5" s="26"/>
      <c r="E5" s="26"/>
      <c r="F5" s="26"/>
      <c r="G5" s="26"/>
      <c r="H5" s="26"/>
    </row>
    <row r="6" spans="1:8" x14ac:dyDescent="0.3">
      <c r="A6" s="28">
        <v>43135</v>
      </c>
      <c r="B6" s="26"/>
      <c r="C6" s="26"/>
      <c r="D6" s="26"/>
      <c r="E6" s="26"/>
      <c r="F6" s="26"/>
      <c r="G6" s="26"/>
      <c r="H6" s="26"/>
    </row>
    <row r="7" spans="1:8" x14ac:dyDescent="0.3">
      <c r="A7" s="28">
        <v>43136</v>
      </c>
      <c r="B7" s="26"/>
      <c r="C7" s="26">
        <v>5</v>
      </c>
      <c r="D7" s="26"/>
      <c r="E7" s="26"/>
      <c r="F7" s="26"/>
      <c r="G7" s="26"/>
      <c r="H7" s="26"/>
    </row>
    <row r="8" spans="1:8" x14ac:dyDescent="0.3">
      <c r="A8" s="28">
        <v>43137</v>
      </c>
      <c r="B8" s="26"/>
      <c r="C8" s="26">
        <v>12</v>
      </c>
      <c r="D8" s="26"/>
      <c r="E8" s="26"/>
      <c r="F8" s="26"/>
      <c r="G8" s="26">
        <v>11</v>
      </c>
      <c r="H8" s="26" t="s">
        <v>119</v>
      </c>
    </row>
    <row r="9" spans="1:8" x14ac:dyDescent="0.3">
      <c r="A9" s="28"/>
      <c r="B9" s="26"/>
      <c r="C9" s="26"/>
      <c r="D9" s="26"/>
      <c r="E9" s="26"/>
      <c r="F9" s="26"/>
      <c r="G9" s="26">
        <v>15.49</v>
      </c>
      <c r="H9" s="26" t="s">
        <v>120</v>
      </c>
    </row>
    <row r="10" spans="1:8" x14ac:dyDescent="0.3">
      <c r="A10" s="28">
        <v>43138</v>
      </c>
      <c r="B10" s="26"/>
      <c r="C10" s="26">
        <v>16.649999999999999</v>
      </c>
      <c r="D10" s="26">
        <v>20</v>
      </c>
      <c r="E10" s="26"/>
      <c r="F10" s="26"/>
      <c r="G10" s="26"/>
      <c r="H10" s="26"/>
    </row>
    <row r="11" spans="1:8" x14ac:dyDescent="0.3">
      <c r="A11" s="28">
        <v>43139</v>
      </c>
      <c r="B11" s="26">
        <v>6.39</v>
      </c>
      <c r="C11" s="26">
        <v>7.95</v>
      </c>
      <c r="D11" s="26"/>
      <c r="E11" s="26"/>
      <c r="F11" s="26"/>
      <c r="G11" s="26"/>
      <c r="H11" s="26"/>
    </row>
    <row r="12" spans="1:8" x14ac:dyDescent="0.3">
      <c r="A12" s="28"/>
      <c r="B12" s="26"/>
      <c r="C12" s="26">
        <v>10</v>
      </c>
      <c r="D12" s="26"/>
      <c r="E12" s="26"/>
      <c r="F12" s="26"/>
      <c r="G12" s="26"/>
      <c r="H12" s="26"/>
    </row>
    <row r="13" spans="1:8" x14ac:dyDescent="0.3">
      <c r="A13" s="28">
        <v>43140</v>
      </c>
      <c r="B13" s="26">
        <v>7.78</v>
      </c>
      <c r="C13" s="26">
        <v>7</v>
      </c>
      <c r="D13" s="26"/>
      <c r="E13" s="26"/>
      <c r="F13" s="26"/>
      <c r="G13" s="26"/>
      <c r="H13" s="26"/>
    </row>
    <row r="14" spans="1:8" x14ac:dyDescent="0.3">
      <c r="A14" s="28">
        <v>43141</v>
      </c>
      <c r="B14" s="26"/>
      <c r="C14" s="26"/>
      <c r="D14" s="26"/>
      <c r="E14" s="26"/>
      <c r="F14" s="26"/>
      <c r="G14" s="26"/>
      <c r="H14" s="26"/>
    </row>
    <row r="15" spans="1:8" x14ac:dyDescent="0.3">
      <c r="A15" s="28">
        <v>43142</v>
      </c>
      <c r="B15" s="26"/>
      <c r="C15" s="26"/>
      <c r="D15" s="26"/>
      <c r="E15" s="26"/>
      <c r="F15" s="26"/>
      <c r="G15" s="26"/>
      <c r="H15" s="26"/>
    </row>
    <row r="16" spans="1:8" x14ac:dyDescent="0.3">
      <c r="A16" s="28">
        <v>43143</v>
      </c>
      <c r="B16" s="26"/>
      <c r="C16" s="26">
        <v>11</v>
      </c>
      <c r="D16" s="26"/>
      <c r="E16" s="26">
        <v>44.99</v>
      </c>
      <c r="F16" s="26" t="s">
        <v>55</v>
      </c>
      <c r="G16" s="26"/>
      <c r="H16" s="26"/>
    </row>
    <row r="17" spans="1:8" x14ac:dyDescent="0.3">
      <c r="A17" s="28"/>
      <c r="B17" s="26"/>
      <c r="C17" s="26">
        <v>5.5</v>
      </c>
      <c r="D17" s="26"/>
      <c r="E17" s="26"/>
      <c r="F17" s="26"/>
      <c r="G17" s="26"/>
      <c r="H17" s="26"/>
    </row>
    <row r="18" spans="1:8" x14ac:dyDescent="0.3">
      <c r="A18" s="28"/>
      <c r="B18" s="26"/>
      <c r="C18" s="26">
        <v>12</v>
      </c>
      <c r="D18" s="26"/>
      <c r="E18" s="26"/>
      <c r="F18" s="26"/>
      <c r="G18" s="26"/>
      <c r="H18" s="26"/>
    </row>
    <row r="19" spans="1:8" x14ac:dyDescent="0.3">
      <c r="A19" s="28"/>
      <c r="B19" s="26"/>
      <c r="C19" s="26">
        <v>16</v>
      </c>
      <c r="D19" s="26"/>
      <c r="E19" s="26"/>
      <c r="F19" s="26"/>
      <c r="G19" s="26"/>
      <c r="H19" s="26"/>
    </row>
    <row r="20" spans="1:8" x14ac:dyDescent="0.3">
      <c r="A20" s="28"/>
      <c r="B20" s="26"/>
      <c r="C20" s="26">
        <v>10</v>
      </c>
      <c r="D20" s="26"/>
      <c r="E20" s="26"/>
      <c r="F20" s="26"/>
      <c r="G20" s="26"/>
      <c r="H20" s="26"/>
    </row>
    <row r="21" spans="1:8" x14ac:dyDescent="0.3">
      <c r="A21" s="28">
        <v>43144</v>
      </c>
      <c r="B21" s="26"/>
      <c r="C21" s="26">
        <v>14</v>
      </c>
      <c r="D21" s="26"/>
      <c r="E21" s="26"/>
      <c r="F21" s="26"/>
      <c r="G21" s="26"/>
      <c r="H21" s="26"/>
    </row>
    <row r="22" spans="1:8" x14ac:dyDescent="0.3">
      <c r="A22" s="28">
        <v>43145</v>
      </c>
      <c r="B22" s="26"/>
      <c r="C22" s="26">
        <v>16</v>
      </c>
      <c r="D22" s="26"/>
      <c r="E22" s="26"/>
      <c r="F22" s="26"/>
      <c r="G22" s="26"/>
      <c r="H22" s="26"/>
    </row>
    <row r="23" spans="1:8" x14ac:dyDescent="0.3">
      <c r="A23" s="28">
        <v>43146</v>
      </c>
      <c r="B23" s="26"/>
      <c r="C23" s="26">
        <v>10</v>
      </c>
      <c r="D23" s="26"/>
      <c r="E23" s="26"/>
      <c r="F23" s="26"/>
      <c r="G23" s="26"/>
      <c r="H23" s="26"/>
    </row>
    <row r="24" spans="1:8" x14ac:dyDescent="0.3">
      <c r="A24" s="28">
        <v>43147</v>
      </c>
      <c r="B24" s="26"/>
      <c r="C24" s="26">
        <v>30</v>
      </c>
      <c r="D24" s="26"/>
      <c r="E24" s="26"/>
      <c r="F24" s="26"/>
      <c r="G24" s="26"/>
      <c r="H24" s="26"/>
    </row>
    <row r="25" spans="1:8" x14ac:dyDescent="0.3">
      <c r="A25" s="28">
        <v>43148</v>
      </c>
      <c r="B25" s="26"/>
      <c r="C25" s="26">
        <v>5</v>
      </c>
      <c r="D25" s="26"/>
      <c r="E25" s="26"/>
      <c r="F25" s="26"/>
      <c r="G25" s="26"/>
      <c r="H25" s="26"/>
    </row>
    <row r="26" spans="1:8" x14ac:dyDescent="0.3">
      <c r="A26" s="28">
        <v>43149</v>
      </c>
      <c r="B26" s="26"/>
      <c r="C26" s="26"/>
      <c r="D26" s="26"/>
      <c r="E26" s="26"/>
      <c r="F26" s="26"/>
      <c r="G26" s="26"/>
      <c r="H26" s="26"/>
    </row>
    <row r="27" spans="1:8" x14ac:dyDescent="0.3">
      <c r="A27" s="28">
        <v>43150</v>
      </c>
      <c r="B27" s="26"/>
      <c r="C27" s="26"/>
      <c r="D27" s="26">
        <v>40.159999999999997</v>
      </c>
      <c r="E27" s="26"/>
      <c r="F27" s="26"/>
      <c r="G27" s="26"/>
      <c r="H27" s="26"/>
    </row>
    <row r="28" spans="1:8" x14ac:dyDescent="0.3">
      <c r="A28" s="28">
        <v>43151</v>
      </c>
      <c r="B28" s="26"/>
      <c r="C28" s="26"/>
      <c r="D28" s="26"/>
      <c r="E28" s="26"/>
      <c r="F28" s="26"/>
      <c r="G28" s="26">
        <v>66.989999999999995</v>
      </c>
      <c r="H28" s="26" t="s">
        <v>121</v>
      </c>
    </row>
    <row r="29" spans="1:8" x14ac:dyDescent="0.3">
      <c r="A29" s="28"/>
      <c r="B29" s="26"/>
      <c r="C29" s="26"/>
      <c r="D29" s="26"/>
      <c r="E29" s="26"/>
      <c r="F29" s="26"/>
      <c r="G29" s="26">
        <v>143.99</v>
      </c>
      <c r="H29" s="26" t="s">
        <v>122</v>
      </c>
    </row>
    <row r="30" spans="1:8" x14ac:dyDescent="0.3">
      <c r="A30" s="28">
        <v>43152</v>
      </c>
      <c r="B30" s="26"/>
      <c r="C30" s="26">
        <v>10</v>
      </c>
      <c r="D30" s="26"/>
      <c r="E30" s="26"/>
      <c r="F30" s="26"/>
      <c r="G30" s="26"/>
      <c r="H30" s="26"/>
    </row>
    <row r="31" spans="1:8" x14ac:dyDescent="0.3">
      <c r="A31" s="28">
        <v>43153</v>
      </c>
      <c r="B31" s="26"/>
      <c r="C31" s="26"/>
      <c r="D31" s="26"/>
      <c r="E31" s="26"/>
      <c r="F31" s="26"/>
      <c r="G31" s="26"/>
      <c r="H31" s="26"/>
    </row>
    <row r="32" spans="1:8" x14ac:dyDescent="0.3">
      <c r="A32" s="28">
        <v>43154</v>
      </c>
      <c r="B32" s="26"/>
      <c r="C32" s="26">
        <v>3</v>
      </c>
      <c r="D32" s="26"/>
      <c r="E32" s="26"/>
      <c r="F32" s="26"/>
      <c r="G32" s="26"/>
      <c r="H32" s="26"/>
    </row>
    <row r="33" spans="1:8" x14ac:dyDescent="0.3">
      <c r="A33" s="28"/>
      <c r="B33" s="26"/>
      <c r="C33" s="26">
        <v>21</v>
      </c>
      <c r="D33" s="26"/>
      <c r="E33" s="26"/>
      <c r="F33" s="26"/>
      <c r="G33" s="26"/>
      <c r="H33" s="26"/>
    </row>
    <row r="34" spans="1:8" x14ac:dyDescent="0.3">
      <c r="A34" s="28">
        <v>43155</v>
      </c>
      <c r="B34" s="26"/>
      <c r="C34" s="26">
        <v>9.85</v>
      </c>
      <c r="D34" s="26"/>
      <c r="E34" s="26">
        <v>15.99</v>
      </c>
      <c r="F34" s="26" t="s">
        <v>123</v>
      </c>
      <c r="G34" s="26"/>
      <c r="H34" s="26"/>
    </row>
    <row r="35" spans="1:8" x14ac:dyDescent="0.3">
      <c r="A35" s="28">
        <v>43156</v>
      </c>
      <c r="B35" s="26"/>
      <c r="C35" s="26"/>
      <c r="D35" s="26"/>
      <c r="E35" s="26"/>
      <c r="F35" s="26"/>
      <c r="G35" s="26"/>
      <c r="H35" s="26"/>
    </row>
    <row r="36" spans="1:8" x14ac:dyDescent="0.3">
      <c r="A36" s="28">
        <v>43157</v>
      </c>
      <c r="B36" s="26"/>
      <c r="C36" s="26">
        <v>9</v>
      </c>
      <c r="D36" s="26"/>
      <c r="E36" s="26">
        <v>12.99</v>
      </c>
      <c r="F36" s="26" t="s">
        <v>72</v>
      </c>
      <c r="G36" s="26"/>
      <c r="H36" s="26"/>
    </row>
    <row r="37" spans="1:8" x14ac:dyDescent="0.3">
      <c r="A37" s="28"/>
      <c r="B37" s="26"/>
      <c r="C37" s="26">
        <v>3</v>
      </c>
      <c r="D37" s="26"/>
      <c r="E37" s="26"/>
      <c r="F37" s="26"/>
      <c r="G37" s="26"/>
      <c r="H37" s="26"/>
    </row>
    <row r="38" spans="1:8" x14ac:dyDescent="0.3">
      <c r="A38" s="28">
        <v>43158</v>
      </c>
      <c r="B38" s="26"/>
      <c r="C38" s="26">
        <v>7.45</v>
      </c>
      <c r="D38" s="26"/>
      <c r="E38" s="26"/>
      <c r="F38" s="26"/>
      <c r="G38" s="26"/>
      <c r="H38" s="26"/>
    </row>
    <row r="39" spans="1:8" x14ac:dyDescent="0.3">
      <c r="A39" s="28">
        <v>43159</v>
      </c>
      <c r="B39" s="26">
        <v>53.18</v>
      </c>
      <c r="C39" s="26">
        <v>8.75</v>
      </c>
      <c r="D39" s="26"/>
      <c r="E39" s="26"/>
      <c r="F39" s="26"/>
      <c r="G39" s="26">
        <v>30</v>
      </c>
      <c r="H39" s="26" t="s">
        <v>124</v>
      </c>
    </row>
    <row r="40" spans="1:8" x14ac:dyDescent="0.3">
      <c r="A40" s="28"/>
      <c r="B40" s="26"/>
      <c r="C40" s="26">
        <v>16.190000000000001</v>
      </c>
      <c r="D40" s="26"/>
      <c r="E40" s="26"/>
      <c r="F40" s="26"/>
      <c r="G40" s="26"/>
      <c r="H40" s="26"/>
    </row>
    <row r="41" spans="1:8" x14ac:dyDescent="0.3">
      <c r="A41" s="28"/>
      <c r="B41" s="26"/>
      <c r="C41" s="26"/>
      <c r="D41" s="26"/>
      <c r="E41" s="26"/>
      <c r="F41" s="26"/>
      <c r="G41" s="26"/>
      <c r="H41" s="26"/>
    </row>
    <row r="42" spans="1:8" x14ac:dyDescent="0.3">
      <c r="A42" s="28"/>
      <c r="B42" s="26"/>
      <c r="C42" s="26"/>
      <c r="D42" s="26"/>
      <c r="E42" s="26"/>
      <c r="F42" s="26"/>
      <c r="G42" s="26"/>
      <c r="H42" s="26"/>
    </row>
    <row r="44" spans="1:8" x14ac:dyDescent="0.3">
      <c r="A44" s="26" t="s">
        <v>44</v>
      </c>
      <c r="B44" s="26">
        <v>67.349999999999994</v>
      </c>
      <c r="C44" s="26">
        <v>293.79000000000002</v>
      </c>
      <c r="D44" s="26">
        <v>60.16</v>
      </c>
      <c r="E44" s="27">
        <v>715.96</v>
      </c>
      <c r="F44" s="26"/>
      <c r="G44" s="26">
        <v>267.47000000000003</v>
      </c>
      <c r="H44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F13D-1A28-4008-A32A-1E1DD2B59846}">
  <dimension ref="A1:H46"/>
  <sheetViews>
    <sheetView topLeftCell="A31" workbookViewId="0">
      <selection activeCell="C53" sqref="C53"/>
    </sheetView>
  </sheetViews>
  <sheetFormatPr defaultRowHeight="14.4" x14ac:dyDescent="0.3"/>
  <cols>
    <col min="1" max="1" width="10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23"/>
      <c r="B2" s="23" t="s">
        <v>12</v>
      </c>
      <c r="C2" s="23" t="s">
        <v>108</v>
      </c>
      <c r="D2" s="23" t="s">
        <v>14</v>
      </c>
      <c r="E2" s="23" t="s">
        <v>15</v>
      </c>
      <c r="F2" s="24"/>
      <c r="G2" s="23" t="s">
        <v>16</v>
      </c>
      <c r="H2" s="23"/>
    </row>
    <row r="3" spans="1:8" x14ac:dyDescent="0.3">
      <c r="A3" s="25">
        <v>43160</v>
      </c>
      <c r="B3" s="23"/>
      <c r="C3" s="23"/>
      <c r="D3" s="23"/>
      <c r="E3" s="23">
        <v>565</v>
      </c>
      <c r="F3" s="23" t="s">
        <v>34</v>
      </c>
      <c r="G3" s="23"/>
      <c r="H3" s="23"/>
    </row>
    <row r="4" spans="1:8" x14ac:dyDescent="0.3">
      <c r="A4" s="25">
        <v>43161</v>
      </c>
      <c r="B4" s="23"/>
      <c r="C4" s="23">
        <v>12.95</v>
      </c>
      <c r="D4" s="23"/>
      <c r="E4" s="23"/>
      <c r="F4" s="23"/>
      <c r="G4" s="23"/>
      <c r="H4" s="23"/>
    </row>
    <row r="5" spans="1:8" x14ac:dyDescent="0.3">
      <c r="A5" s="25"/>
      <c r="B5" s="23"/>
      <c r="C5" s="23">
        <v>18</v>
      </c>
      <c r="D5" s="23"/>
      <c r="E5" s="23"/>
      <c r="F5" s="23"/>
      <c r="G5" s="23"/>
      <c r="H5" s="23"/>
    </row>
    <row r="6" spans="1:8" x14ac:dyDescent="0.3">
      <c r="A6" s="25">
        <v>43162</v>
      </c>
      <c r="B6" s="23"/>
      <c r="C6" s="23"/>
      <c r="D6" s="23"/>
      <c r="E6" s="23"/>
      <c r="F6" s="23"/>
      <c r="G6" s="23"/>
      <c r="H6" s="23"/>
    </row>
    <row r="7" spans="1:8" x14ac:dyDescent="0.3">
      <c r="A7" s="25">
        <v>43163</v>
      </c>
      <c r="B7" s="23"/>
      <c r="C7" s="23"/>
      <c r="D7" s="23"/>
      <c r="E7" s="23"/>
      <c r="F7" s="23"/>
      <c r="G7" s="23">
        <v>29.98</v>
      </c>
      <c r="H7" s="23" t="s">
        <v>109</v>
      </c>
    </row>
    <row r="8" spans="1:8" x14ac:dyDescent="0.3">
      <c r="A8" s="25">
        <v>43164</v>
      </c>
      <c r="B8" s="23">
        <v>3.69</v>
      </c>
      <c r="C8" s="23">
        <v>14.4</v>
      </c>
      <c r="D8" s="23"/>
      <c r="E8" s="23">
        <v>6</v>
      </c>
      <c r="F8" s="23" t="s">
        <v>92</v>
      </c>
      <c r="G8" s="23"/>
      <c r="H8" s="23"/>
    </row>
    <row r="9" spans="1:8" x14ac:dyDescent="0.3">
      <c r="A9" s="25"/>
      <c r="B9" s="23">
        <v>5.5</v>
      </c>
      <c r="C9" s="23">
        <v>7.5</v>
      </c>
      <c r="D9" s="23"/>
      <c r="E9" s="23">
        <v>67</v>
      </c>
      <c r="F9" s="23" t="s">
        <v>66</v>
      </c>
      <c r="G9" s="23"/>
      <c r="H9" s="23"/>
    </row>
    <row r="10" spans="1:8" x14ac:dyDescent="0.3">
      <c r="A10" s="25"/>
      <c r="B10" s="23"/>
      <c r="C10" s="23">
        <v>25</v>
      </c>
      <c r="D10" s="23"/>
      <c r="E10" s="23"/>
      <c r="F10" s="23"/>
      <c r="G10" s="23"/>
      <c r="H10" s="23"/>
    </row>
    <row r="11" spans="1:8" x14ac:dyDescent="0.3">
      <c r="A11" s="25">
        <v>43165</v>
      </c>
      <c r="B11" s="23"/>
      <c r="C11" s="23">
        <v>17.5</v>
      </c>
      <c r="D11" s="23"/>
      <c r="E11" s="23"/>
      <c r="F11" s="23"/>
      <c r="G11" s="23"/>
      <c r="H11" s="23"/>
    </row>
    <row r="12" spans="1:8" x14ac:dyDescent="0.3">
      <c r="A12" s="25">
        <v>43166</v>
      </c>
      <c r="B12" s="23"/>
      <c r="C12" s="23"/>
      <c r="D12" s="23"/>
      <c r="E12" s="23">
        <v>44.99</v>
      </c>
      <c r="F12" s="23" t="s">
        <v>27</v>
      </c>
      <c r="G12" s="23"/>
      <c r="H12" s="23"/>
    </row>
    <row r="13" spans="1:8" x14ac:dyDescent="0.3">
      <c r="A13" s="25">
        <v>43167</v>
      </c>
      <c r="B13" s="23"/>
      <c r="C13" s="23">
        <v>8.5</v>
      </c>
      <c r="D13" s="23"/>
      <c r="E13" s="23"/>
      <c r="F13" s="23"/>
      <c r="G13" s="23">
        <v>79.3</v>
      </c>
      <c r="H13" s="23" t="s">
        <v>110</v>
      </c>
    </row>
    <row r="14" spans="1:8" x14ac:dyDescent="0.3">
      <c r="A14" s="25"/>
      <c r="B14" s="23"/>
      <c r="C14" s="23">
        <v>12.95</v>
      </c>
      <c r="D14" s="23"/>
      <c r="E14" s="23"/>
      <c r="F14" s="23"/>
      <c r="G14" s="23">
        <v>20</v>
      </c>
      <c r="H14" s="23" t="s">
        <v>111</v>
      </c>
    </row>
    <row r="15" spans="1:8" x14ac:dyDescent="0.3">
      <c r="A15" s="25">
        <v>43168</v>
      </c>
      <c r="B15" s="23">
        <v>19.149999999999999</v>
      </c>
      <c r="C15" s="23">
        <v>9</v>
      </c>
      <c r="D15" s="23"/>
      <c r="E15" s="23">
        <v>50</v>
      </c>
      <c r="F15" s="23" t="s">
        <v>112</v>
      </c>
      <c r="G15" s="23">
        <v>5.99</v>
      </c>
      <c r="H15" s="23" t="s">
        <v>96</v>
      </c>
    </row>
    <row r="16" spans="1:8" x14ac:dyDescent="0.3">
      <c r="A16" s="25">
        <v>43169</v>
      </c>
      <c r="B16" s="23"/>
      <c r="C16" s="23"/>
      <c r="D16" s="23"/>
      <c r="E16" s="23"/>
      <c r="F16" s="23"/>
      <c r="G16" s="23"/>
      <c r="H16" s="23"/>
    </row>
    <row r="17" spans="1:8" x14ac:dyDescent="0.3">
      <c r="A17" s="25">
        <v>43170</v>
      </c>
      <c r="B17" s="23">
        <v>24.2</v>
      </c>
      <c r="C17" s="23">
        <v>9</v>
      </c>
      <c r="D17" s="23"/>
      <c r="E17" s="23"/>
      <c r="F17" s="23"/>
      <c r="G17" s="23"/>
      <c r="H17" s="23"/>
    </row>
    <row r="18" spans="1:8" x14ac:dyDescent="0.3">
      <c r="A18" s="25"/>
      <c r="B18" s="23"/>
      <c r="C18" s="23">
        <v>17.5</v>
      </c>
      <c r="D18" s="23"/>
      <c r="E18" s="23"/>
      <c r="F18" s="23"/>
      <c r="G18" s="23"/>
      <c r="H18" s="23"/>
    </row>
    <row r="19" spans="1:8" x14ac:dyDescent="0.3">
      <c r="A19" s="25">
        <v>43171</v>
      </c>
      <c r="B19" s="23"/>
      <c r="C19" s="23">
        <v>10</v>
      </c>
      <c r="D19" s="23"/>
      <c r="E19" s="23"/>
      <c r="F19" s="23"/>
      <c r="G19" s="23"/>
      <c r="H19" s="23"/>
    </row>
    <row r="20" spans="1:8" x14ac:dyDescent="0.3">
      <c r="A20" s="25"/>
      <c r="B20" s="23"/>
      <c r="C20" s="23">
        <v>5.35</v>
      </c>
      <c r="D20" s="23"/>
      <c r="E20" s="23"/>
      <c r="F20" s="23"/>
      <c r="G20" s="23"/>
      <c r="H20" s="23"/>
    </row>
    <row r="21" spans="1:8" x14ac:dyDescent="0.3">
      <c r="A21" s="25">
        <v>43172</v>
      </c>
      <c r="B21" s="23">
        <v>46.85</v>
      </c>
      <c r="C21" s="23">
        <v>12.95</v>
      </c>
      <c r="D21" s="23"/>
      <c r="E21" s="23"/>
      <c r="F21" s="23"/>
      <c r="G21" s="23">
        <v>115.57</v>
      </c>
      <c r="H21" s="23" t="s">
        <v>113</v>
      </c>
    </row>
    <row r="22" spans="1:8" x14ac:dyDescent="0.3">
      <c r="A22" s="25"/>
      <c r="B22" s="23"/>
      <c r="C22" s="23">
        <v>7.24</v>
      </c>
      <c r="D22" s="23"/>
      <c r="E22" s="23"/>
      <c r="F22" s="23"/>
      <c r="G22" s="23">
        <v>77.25</v>
      </c>
      <c r="H22" s="23" t="s">
        <v>114</v>
      </c>
    </row>
    <row r="23" spans="1:8" x14ac:dyDescent="0.3">
      <c r="A23" s="25"/>
      <c r="B23" s="23"/>
      <c r="C23" s="23">
        <v>12</v>
      </c>
      <c r="D23" s="23"/>
      <c r="E23" s="23"/>
      <c r="F23" s="23"/>
      <c r="G23" s="23">
        <v>2</v>
      </c>
      <c r="H23" s="23" t="s">
        <v>68</v>
      </c>
    </row>
    <row r="24" spans="1:8" x14ac:dyDescent="0.3">
      <c r="A24" s="25">
        <v>43173</v>
      </c>
      <c r="B24" s="23"/>
      <c r="C24" s="23">
        <v>4.25</v>
      </c>
      <c r="D24" s="23">
        <v>26.54</v>
      </c>
      <c r="E24" s="23"/>
      <c r="F24" s="23"/>
      <c r="G24" s="23"/>
      <c r="H24" s="23"/>
    </row>
    <row r="25" spans="1:8" x14ac:dyDescent="0.3">
      <c r="A25" s="25">
        <v>43174</v>
      </c>
      <c r="B25" s="23"/>
      <c r="C25" s="23"/>
      <c r="D25" s="23"/>
      <c r="E25" s="23"/>
      <c r="F25" s="23"/>
      <c r="G25" s="23">
        <v>33</v>
      </c>
      <c r="H25" s="23" t="s">
        <v>115</v>
      </c>
    </row>
    <row r="26" spans="1:8" x14ac:dyDescent="0.3">
      <c r="A26" s="25">
        <v>43175</v>
      </c>
      <c r="B26" s="23">
        <v>45.04</v>
      </c>
      <c r="C26" s="23"/>
      <c r="D26" s="23"/>
      <c r="E26" s="23"/>
      <c r="F26" s="23"/>
      <c r="G26" s="23"/>
      <c r="H26" s="23"/>
    </row>
    <row r="27" spans="1:8" x14ac:dyDescent="0.3">
      <c r="A27" s="25">
        <v>43176</v>
      </c>
      <c r="B27" s="23"/>
      <c r="C27" s="23"/>
      <c r="D27" s="23"/>
      <c r="E27" s="23"/>
      <c r="F27" s="23"/>
      <c r="G27" s="23"/>
      <c r="H27" s="23"/>
    </row>
    <row r="28" spans="1:8" x14ac:dyDescent="0.3">
      <c r="A28" s="25">
        <v>43177</v>
      </c>
      <c r="B28" s="23"/>
      <c r="C28" s="23">
        <v>40</v>
      </c>
      <c r="D28" s="23"/>
      <c r="E28" s="23"/>
      <c r="F28" s="23"/>
      <c r="G28" s="23"/>
      <c r="H28" s="23"/>
    </row>
    <row r="29" spans="1:8" x14ac:dyDescent="0.3">
      <c r="A29" s="25">
        <v>43178</v>
      </c>
      <c r="B29" s="23"/>
      <c r="C29" s="23">
        <v>28.8</v>
      </c>
      <c r="D29" s="23">
        <v>2</v>
      </c>
      <c r="E29" s="23"/>
      <c r="F29" s="23"/>
      <c r="G29" s="23"/>
      <c r="H29" s="23"/>
    </row>
    <row r="30" spans="1:8" x14ac:dyDescent="0.3">
      <c r="A30" s="25"/>
      <c r="B30" s="23"/>
      <c r="C30" s="23">
        <v>20</v>
      </c>
      <c r="D30" s="23"/>
      <c r="E30" s="23"/>
      <c r="F30" s="23"/>
      <c r="G30" s="23"/>
      <c r="H30" s="23"/>
    </row>
    <row r="31" spans="1:8" x14ac:dyDescent="0.3">
      <c r="A31" s="25"/>
      <c r="B31" s="23"/>
      <c r="C31" s="23">
        <v>9.25</v>
      </c>
      <c r="D31" s="23"/>
      <c r="E31" s="23"/>
      <c r="F31" s="23"/>
      <c r="G31" s="23"/>
      <c r="H31" s="23"/>
    </row>
    <row r="32" spans="1:8" x14ac:dyDescent="0.3">
      <c r="A32" s="25">
        <v>43179</v>
      </c>
      <c r="B32" s="23"/>
      <c r="C32" s="23"/>
      <c r="D32" s="23"/>
      <c r="E32" s="23"/>
      <c r="F32" s="23"/>
      <c r="G32" s="23"/>
      <c r="H32" s="23"/>
    </row>
    <row r="33" spans="1:8" x14ac:dyDescent="0.3">
      <c r="A33" s="25">
        <v>43180</v>
      </c>
      <c r="B33" s="23">
        <v>8.7899999999999991</v>
      </c>
      <c r="C33" s="23"/>
      <c r="D33" s="23"/>
      <c r="E33" s="23"/>
      <c r="F33" s="23"/>
      <c r="G33" s="23"/>
      <c r="H33" s="23"/>
    </row>
    <row r="34" spans="1:8" x14ac:dyDescent="0.3">
      <c r="A34" s="25">
        <v>43181</v>
      </c>
      <c r="B34" s="23">
        <v>12.86</v>
      </c>
      <c r="C34" s="23">
        <v>7</v>
      </c>
      <c r="D34" s="23"/>
      <c r="E34" s="23">
        <v>82</v>
      </c>
      <c r="F34" s="23" t="s">
        <v>116</v>
      </c>
      <c r="G34" s="23"/>
      <c r="H34" s="23"/>
    </row>
    <row r="35" spans="1:8" x14ac:dyDescent="0.3">
      <c r="A35" s="25">
        <v>43182</v>
      </c>
      <c r="B35" s="23"/>
      <c r="C35" s="23">
        <v>19</v>
      </c>
      <c r="D35" s="23">
        <v>38.94</v>
      </c>
      <c r="E35" s="23"/>
      <c r="F35" s="23"/>
      <c r="G35" s="23"/>
      <c r="H35" s="23"/>
    </row>
    <row r="36" spans="1:8" x14ac:dyDescent="0.3">
      <c r="A36" s="25">
        <v>43183</v>
      </c>
      <c r="B36" s="23">
        <v>28.22</v>
      </c>
      <c r="C36" s="23">
        <v>11.23</v>
      </c>
      <c r="D36" s="23">
        <v>43.84</v>
      </c>
      <c r="E36" s="23">
        <v>14.99</v>
      </c>
      <c r="F36" s="23" t="s">
        <v>32</v>
      </c>
      <c r="G36" s="23"/>
      <c r="H36" s="23"/>
    </row>
    <row r="37" spans="1:8" x14ac:dyDescent="0.3">
      <c r="A37" s="25">
        <v>43184</v>
      </c>
      <c r="B37" s="23"/>
      <c r="C37" s="23"/>
      <c r="D37" s="23"/>
      <c r="E37" s="23"/>
      <c r="F37" s="23"/>
      <c r="G37" s="23"/>
      <c r="H37" s="23"/>
    </row>
    <row r="38" spans="1:8" x14ac:dyDescent="0.3">
      <c r="A38" s="25">
        <v>43185</v>
      </c>
      <c r="B38" s="23"/>
      <c r="C38" s="23">
        <v>6.75</v>
      </c>
      <c r="D38" s="23"/>
      <c r="E38" s="23">
        <v>12.99</v>
      </c>
      <c r="F38" s="23" t="s">
        <v>72</v>
      </c>
      <c r="G38" s="23"/>
      <c r="H38" s="23"/>
    </row>
    <row r="39" spans="1:8" x14ac:dyDescent="0.3">
      <c r="A39" s="25"/>
      <c r="B39" s="23"/>
      <c r="C39" s="23">
        <v>11.29</v>
      </c>
      <c r="D39" s="23"/>
      <c r="E39" s="23"/>
      <c r="F39" s="23"/>
      <c r="G39" s="23"/>
      <c r="H39" s="23"/>
    </row>
    <row r="40" spans="1:8" x14ac:dyDescent="0.3">
      <c r="A40" s="25">
        <v>43186</v>
      </c>
      <c r="B40" s="23"/>
      <c r="C40" s="23"/>
      <c r="D40" s="23"/>
      <c r="E40" s="23"/>
      <c r="F40" s="23"/>
      <c r="G40" s="23"/>
      <c r="H40" s="23"/>
    </row>
    <row r="41" spans="1:8" x14ac:dyDescent="0.3">
      <c r="A41" s="25">
        <v>43187</v>
      </c>
      <c r="B41" s="23">
        <v>31.73</v>
      </c>
      <c r="C41" s="23"/>
      <c r="D41" s="23"/>
      <c r="E41" s="23"/>
      <c r="F41" s="23"/>
      <c r="G41" s="23">
        <v>6.54</v>
      </c>
      <c r="H41" s="23" t="s">
        <v>117</v>
      </c>
    </row>
    <row r="42" spans="1:8" x14ac:dyDescent="0.3">
      <c r="A42" s="25">
        <v>43188</v>
      </c>
      <c r="B42" s="23">
        <v>31.26</v>
      </c>
      <c r="C42" s="23">
        <v>8.0299999999999994</v>
      </c>
      <c r="D42" s="23"/>
      <c r="E42" s="23">
        <v>167.5</v>
      </c>
      <c r="F42" s="23" t="s">
        <v>92</v>
      </c>
      <c r="G42" s="23">
        <v>16.25</v>
      </c>
      <c r="H42" s="23" t="s">
        <v>118</v>
      </c>
    </row>
    <row r="43" spans="1:8" x14ac:dyDescent="0.3">
      <c r="A43" s="25">
        <v>43189</v>
      </c>
      <c r="B43" s="23"/>
      <c r="C43" s="23">
        <v>27.17</v>
      </c>
      <c r="D43" s="23"/>
      <c r="E43" s="23"/>
      <c r="F43" s="23"/>
      <c r="G43" s="23">
        <v>17.95</v>
      </c>
      <c r="H43" s="23" t="s">
        <v>99</v>
      </c>
    </row>
    <row r="44" spans="1:8" x14ac:dyDescent="0.3">
      <c r="A44" s="25">
        <v>43190</v>
      </c>
      <c r="B44" s="23"/>
      <c r="C44" s="23">
        <v>9.24</v>
      </c>
      <c r="D44" s="23"/>
      <c r="E44" s="23"/>
      <c r="F44" s="23"/>
      <c r="G44" s="23"/>
      <c r="H44" s="23"/>
    </row>
    <row r="46" spans="1:8" x14ac:dyDescent="0.3">
      <c r="A46" s="23" t="s">
        <v>44</v>
      </c>
      <c r="B46" s="23">
        <v>257.29000000000002</v>
      </c>
      <c r="C46" s="23">
        <v>401.85</v>
      </c>
      <c r="D46" s="23">
        <v>111.32</v>
      </c>
      <c r="E46" s="24">
        <v>1010.47</v>
      </c>
      <c r="F46" s="23"/>
      <c r="G46" s="23">
        <v>403.83</v>
      </c>
      <c r="H46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9D9D-4CBA-43C4-B4D5-1AF18FDA16EC}">
  <dimension ref="A1:H45"/>
  <sheetViews>
    <sheetView topLeftCell="A25" workbookViewId="0">
      <selection activeCell="A2" sqref="A2:H45"/>
    </sheetView>
  </sheetViews>
  <sheetFormatPr defaultRowHeight="14.4" x14ac:dyDescent="0.3"/>
  <cols>
    <col min="1" max="1" width="10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22">
        <v>43191</v>
      </c>
      <c r="B2" s="20"/>
      <c r="C2" s="20"/>
      <c r="D2" s="20"/>
      <c r="E2" s="20">
        <v>565</v>
      </c>
      <c r="F2" s="20" t="s">
        <v>34</v>
      </c>
      <c r="G2" s="20">
        <v>15.99</v>
      </c>
      <c r="H2" s="20" t="s">
        <v>98</v>
      </c>
    </row>
    <row r="3" spans="1:8" x14ac:dyDescent="0.3">
      <c r="A3" s="22">
        <v>43192</v>
      </c>
      <c r="B3" s="20"/>
      <c r="C3" s="20">
        <v>21</v>
      </c>
      <c r="D3" s="20">
        <v>40.42</v>
      </c>
      <c r="E3" s="20"/>
      <c r="F3" s="20"/>
      <c r="G3" s="20"/>
      <c r="H3" s="20"/>
    </row>
    <row r="4" spans="1:8" x14ac:dyDescent="0.3">
      <c r="A4" s="22">
        <v>43193</v>
      </c>
      <c r="B4" s="20">
        <v>10.98</v>
      </c>
      <c r="C4" s="20"/>
      <c r="D4" s="20">
        <v>28.42</v>
      </c>
      <c r="E4" s="20"/>
      <c r="F4" s="20"/>
      <c r="G4" s="20"/>
      <c r="H4" s="20"/>
    </row>
    <row r="5" spans="1:8" x14ac:dyDescent="0.3">
      <c r="A5" s="22">
        <v>43194</v>
      </c>
      <c r="B5" s="20"/>
      <c r="C5" s="20">
        <v>11.45</v>
      </c>
      <c r="D5" s="20"/>
      <c r="E5" s="20">
        <v>12.99</v>
      </c>
      <c r="F5" s="20" t="s">
        <v>72</v>
      </c>
      <c r="G5" s="20">
        <v>79.2</v>
      </c>
      <c r="H5" s="20" t="s">
        <v>87</v>
      </c>
    </row>
    <row r="6" spans="1:8" x14ac:dyDescent="0.3">
      <c r="A6" s="22">
        <v>43195</v>
      </c>
      <c r="B6" s="20"/>
      <c r="C6" s="20"/>
      <c r="D6" s="20"/>
      <c r="E6" s="20"/>
      <c r="F6" s="20"/>
      <c r="G6" s="20"/>
      <c r="H6" s="20"/>
    </row>
    <row r="7" spans="1:8" x14ac:dyDescent="0.3">
      <c r="A7" s="22">
        <v>43196</v>
      </c>
      <c r="B7" s="20"/>
      <c r="C7" s="20"/>
      <c r="D7" s="20"/>
      <c r="E7" s="20"/>
      <c r="F7" s="20"/>
      <c r="G7" s="20"/>
      <c r="H7" s="20"/>
    </row>
    <row r="8" spans="1:8" x14ac:dyDescent="0.3">
      <c r="A8" s="22">
        <v>43197</v>
      </c>
      <c r="B8" s="20"/>
      <c r="C8" s="20">
        <v>15.54</v>
      </c>
      <c r="D8" s="20"/>
      <c r="E8" s="20"/>
      <c r="F8" s="20"/>
      <c r="G8" s="20">
        <v>4.58</v>
      </c>
      <c r="H8" s="20" t="s">
        <v>99</v>
      </c>
    </row>
    <row r="9" spans="1:8" x14ac:dyDescent="0.3">
      <c r="A9" s="22"/>
      <c r="B9" s="20"/>
      <c r="C9" s="20">
        <v>10</v>
      </c>
      <c r="D9" s="20"/>
      <c r="E9" s="20"/>
      <c r="F9" s="20"/>
      <c r="G9" s="20"/>
      <c r="H9" s="20"/>
    </row>
    <row r="10" spans="1:8" x14ac:dyDescent="0.3">
      <c r="A10" s="22">
        <v>43198</v>
      </c>
      <c r="B10" s="20">
        <v>19.36</v>
      </c>
      <c r="C10" s="20"/>
      <c r="D10" s="20"/>
      <c r="E10" s="20">
        <v>2.29</v>
      </c>
      <c r="F10" s="20" t="s">
        <v>100</v>
      </c>
      <c r="G10" s="20"/>
      <c r="H10" s="20"/>
    </row>
    <row r="11" spans="1:8" x14ac:dyDescent="0.3">
      <c r="A11" s="22">
        <v>43199</v>
      </c>
      <c r="B11" s="20"/>
      <c r="C11" s="20"/>
      <c r="D11" s="20">
        <v>40.15</v>
      </c>
      <c r="E11" s="20">
        <v>44.99</v>
      </c>
      <c r="F11" s="20" t="s">
        <v>27</v>
      </c>
      <c r="G11" s="20">
        <v>19.95</v>
      </c>
      <c r="H11" s="20" t="s">
        <v>101</v>
      </c>
    </row>
    <row r="12" spans="1:8" x14ac:dyDescent="0.3">
      <c r="A12" s="22">
        <v>43200</v>
      </c>
      <c r="B12" s="20">
        <v>14.96</v>
      </c>
      <c r="C12" s="20">
        <v>21</v>
      </c>
      <c r="D12" s="20"/>
      <c r="E12" s="20">
        <v>60</v>
      </c>
      <c r="F12" s="20" t="s">
        <v>58</v>
      </c>
      <c r="G12" s="20"/>
      <c r="H12" s="20"/>
    </row>
    <row r="13" spans="1:8" x14ac:dyDescent="0.3">
      <c r="A13" s="22">
        <v>43201</v>
      </c>
      <c r="B13" s="20"/>
      <c r="C13" s="20"/>
      <c r="D13" s="20"/>
      <c r="E13" s="20"/>
      <c r="F13" s="20"/>
      <c r="G13" s="20">
        <v>32.01</v>
      </c>
      <c r="H13" s="20" t="s">
        <v>102</v>
      </c>
    </row>
    <row r="14" spans="1:8" x14ac:dyDescent="0.3">
      <c r="A14" s="22">
        <v>43202</v>
      </c>
      <c r="B14" s="20">
        <v>19.920000000000002</v>
      </c>
      <c r="C14" s="20"/>
      <c r="D14" s="20"/>
      <c r="E14" s="20"/>
      <c r="F14" s="20"/>
      <c r="G14" s="20"/>
      <c r="H14" s="20"/>
    </row>
    <row r="15" spans="1:8" x14ac:dyDescent="0.3">
      <c r="A15" s="22">
        <v>43203</v>
      </c>
      <c r="B15" s="20"/>
      <c r="C15" s="20">
        <v>14.94</v>
      </c>
      <c r="D15" s="20"/>
      <c r="E15" s="20"/>
      <c r="F15" s="20"/>
      <c r="G15" s="20"/>
      <c r="H15" s="20"/>
    </row>
    <row r="16" spans="1:8" x14ac:dyDescent="0.3">
      <c r="A16" s="22">
        <v>43204</v>
      </c>
      <c r="B16" s="20"/>
      <c r="C16" s="20">
        <v>12</v>
      </c>
      <c r="D16" s="20"/>
      <c r="E16" s="20"/>
      <c r="F16" s="20"/>
      <c r="G16" s="20">
        <v>6.98</v>
      </c>
      <c r="H16" s="20" t="s">
        <v>103</v>
      </c>
    </row>
    <row r="17" spans="1:8" x14ac:dyDescent="0.3">
      <c r="A17" s="22">
        <v>43205</v>
      </c>
      <c r="B17" s="20"/>
      <c r="C17" s="20">
        <v>9.5</v>
      </c>
      <c r="D17" s="20"/>
      <c r="E17" s="20"/>
      <c r="F17" s="20"/>
      <c r="G17" s="20"/>
      <c r="H17" s="20"/>
    </row>
    <row r="18" spans="1:8" x14ac:dyDescent="0.3">
      <c r="A18" s="22">
        <v>43206</v>
      </c>
      <c r="B18" s="20"/>
      <c r="C18" s="20">
        <v>5</v>
      </c>
      <c r="D18" s="20"/>
      <c r="E18" s="20"/>
      <c r="F18" s="20"/>
      <c r="G18" s="20">
        <v>14.99</v>
      </c>
      <c r="H18" s="20" t="s">
        <v>99</v>
      </c>
    </row>
    <row r="19" spans="1:8" x14ac:dyDescent="0.3">
      <c r="A19" s="22">
        <v>43207</v>
      </c>
      <c r="B19" s="20"/>
      <c r="C19" s="20">
        <v>11.44</v>
      </c>
      <c r="D19" s="20"/>
      <c r="E19" s="20"/>
      <c r="F19" s="20"/>
      <c r="G19" s="20"/>
      <c r="H19" s="20"/>
    </row>
    <row r="20" spans="1:8" x14ac:dyDescent="0.3">
      <c r="A20" s="22">
        <v>43208</v>
      </c>
      <c r="B20" s="20"/>
      <c r="C20" s="20">
        <v>8.44</v>
      </c>
      <c r="D20" s="20">
        <v>3</v>
      </c>
      <c r="E20" s="20"/>
      <c r="F20" s="20"/>
      <c r="G20" s="20"/>
      <c r="H20" s="20"/>
    </row>
    <row r="21" spans="1:8" x14ac:dyDescent="0.3">
      <c r="A21" s="22"/>
      <c r="B21" s="20"/>
      <c r="C21" s="20">
        <v>10</v>
      </c>
      <c r="D21" s="20"/>
      <c r="E21" s="20"/>
      <c r="F21" s="20"/>
      <c r="G21" s="20"/>
      <c r="H21" s="20"/>
    </row>
    <row r="22" spans="1:8" x14ac:dyDescent="0.3">
      <c r="A22" s="22">
        <v>43209</v>
      </c>
      <c r="B22" s="20">
        <v>14.99</v>
      </c>
      <c r="C22" s="20">
        <v>9</v>
      </c>
      <c r="D22" s="20"/>
      <c r="E22" s="20"/>
      <c r="F22" s="20"/>
      <c r="G22" s="20"/>
      <c r="H22" s="20"/>
    </row>
    <row r="23" spans="1:8" x14ac:dyDescent="0.3">
      <c r="A23" s="22"/>
      <c r="B23" s="20"/>
      <c r="C23" s="20">
        <v>13.5</v>
      </c>
      <c r="D23" s="20"/>
      <c r="E23" s="20"/>
      <c r="F23" s="20"/>
      <c r="G23" s="20"/>
      <c r="H23" s="20"/>
    </row>
    <row r="24" spans="1:8" x14ac:dyDescent="0.3">
      <c r="A24" s="22">
        <v>43210</v>
      </c>
      <c r="B24" s="20"/>
      <c r="C24" s="20">
        <v>10</v>
      </c>
      <c r="D24" s="20"/>
      <c r="E24" s="20"/>
      <c r="F24" s="20"/>
      <c r="G24" s="20"/>
      <c r="H24" s="20"/>
    </row>
    <row r="25" spans="1:8" x14ac:dyDescent="0.3">
      <c r="A25" s="22"/>
      <c r="B25" s="20"/>
      <c r="C25" s="20">
        <v>14.94</v>
      </c>
      <c r="D25" s="20"/>
      <c r="E25" s="20"/>
      <c r="F25" s="20"/>
      <c r="G25" s="20"/>
      <c r="H25" s="20"/>
    </row>
    <row r="26" spans="1:8" x14ac:dyDescent="0.3">
      <c r="A26" s="22"/>
      <c r="B26" s="20"/>
      <c r="C26" s="20">
        <v>22</v>
      </c>
      <c r="D26" s="20"/>
      <c r="E26" s="20"/>
      <c r="F26" s="20"/>
      <c r="G26" s="20"/>
      <c r="H26" s="20"/>
    </row>
    <row r="27" spans="1:8" x14ac:dyDescent="0.3">
      <c r="A27" s="22">
        <v>43211</v>
      </c>
      <c r="B27" s="20">
        <v>8.99</v>
      </c>
      <c r="C27" s="20">
        <v>19.38</v>
      </c>
      <c r="D27" s="20"/>
      <c r="E27" s="20"/>
      <c r="F27" s="20"/>
      <c r="G27" s="20"/>
      <c r="H27" s="20"/>
    </row>
    <row r="28" spans="1:8" x14ac:dyDescent="0.3">
      <c r="A28" s="22"/>
      <c r="B28" s="20">
        <v>1.1499999999999999</v>
      </c>
      <c r="C28" s="20"/>
      <c r="D28" s="20"/>
      <c r="E28" s="20"/>
      <c r="F28" s="20"/>
      <c r="G28" s="20"/>
      <c r="H28" s="20"/>
    </row>
    <row r="29" spans="1:8" x14ac:dyDescent="0.3">
      <c r="A29" s="22">
        <v>43212</v>
      </c>
      <c r="B29" s="20">
        <v>44.01</v>
      </c>
      <c r="C29" s="20"/>
      <c r="D29" s="20">
        <v>40</v>
      </c>
      <c r="E29" s="20"/>
      <c r="F29" s="20"/>
      <c r="G29" s="20"/>
      <c r="H29" s="20"/>
    </row>
    <row r="30" spans="1:8" x14ac:dyDescent="0.3">
      <c r="A30" s="22">
        <v>43213</v>
      </c>
      <c r="B30" s="20"/>
      <c r="C30" s="20">
        <v>6</v>
      </c>
      <c r="D30" s="20">
        <v>14.99</v>
      </c>
      <c r="E30" s="20"/>
      <c r="F30" s="20"/>
      <c r="G30" s="20">
        <v>18.670000000000002</v>
      </c>
      <c r="H30" s="20" t="s">
        <v>104</v>
      </c>
    </row>
    <row r="31" spans="1:8" x14ac:dyDescent="0.3">
      <c r="A31" s="22"/>
      <c r="B31" s="20"/>
      <c r="C31" s="20">
        <v>10</v>
      </c>
      <c r="D31" s="20"/>
      <c r="E31" s="20"/>
      <c r="F31" s="20"/>
      <c r="G31" s="20"/>
      <c r="H31" s="20"/>
    </row>
    <row r="32" spans="1:8" x14ac:dyDescent="0.3">
      <c r="A32" s="22">
        <v>43214</v>
      </c>
      <c r="B32" s="20"/>
      <c r="C32" s="20"/>
      <c r="D32" s="20"/>
      <c r="E32" s="20"/>
      <c r="F32" s="20"/>
      <c r="G32" s="20"/>
      <c r="H32" s="20"/>
    </row>
    <row r="33" spans="1:8" x14ac:dyDescent="0.3">
      <c r="A33" s="22">
        <v>43215</v>
      </c>
      <c r="B33" s="20"/>
      <c r="C33" s="20">
        <v>5.5</v>
      </c>
      <c r="D33" s="20"/>
      <c r="E33" s="20"/>
      <c r="F33" s="20"/>
      <c r="G33" s="20"/>
      <c r="H33" s="20"/>
    </row>
    <row r="34" spans="1:8" x14ac:dyDescent="0.3">
      <c r="A34" s="22"/>
      <c r="B34" s="20"/>
      <c r="C34" s="20">
        <v>6</v>
      </c>
      <c r="D34" s="20"/>
      <c r="E34" s="20"/>
      <c r="F34" s="20"/>
      <c r="G34" s="20"/>
      <c r="H34" s="20"/>
    </row>
    <row r="35" spans="1:8" x14ac:dyDescent="0.3">
      <c r="A35" s="22">
        <v>43216</v>
      </c>
      <c r="B35" s="20"/>
      <c r="C35" s="20"/>
      <c r="D35" s="20"/>
      <c r="E35" s="20">
        <v>12.99</v>
      </c>
      <c r="F35" s="20" t="s">
        <v>72</v>
      </c>
      <c r="G35" s="20">
        <v>62.95</v>
      </c>
      <c r="H35" s="20" t="s">
        <v>105</v>
      </c>
    </row>
    <row r="36" spans="1:8" x14ac:dyDescent="0.3">
      <c r="A36" s="22">
        <v>43217</v>
      </c>
      <c r="B36" s="20"/>
      <c r="C36" s="20">
        <v>11</v>
      </c>
      <c r="D36" s="20"/>
      <c r="E36" s="20"/>
      <c r="F36" s="20"/>
      <c r="G36" s="20"/>
      <c r="H36" s="20"/>
    </row>
    <row r="37" spans="1:8" x14ac:dyDescent="0.3">
      <c r="A37" s="22"/>
      <c r="B37" s="20"/>
      <c r="C37" s="20">
        <v>10</v>
      </c>
      <c r="D37" s="20"/>
      <c r="E37" s="20"/>
      <c r="F37" s="20"/>
      <c r="G37" s="20"/>
      <c r="H37" s="20"/>
    </row>
    <row r="38" spans="1:8" x14ac:dyDescent="0.3">
      <c r="A38" s="22">
        <v>43218</v>
      </c>
      <c r="B38" s="20"/>
      <c r="C38" s="20">
        <v>16.190000000000001</v>
      </c>
      <c r="D38" s="20"/>
      <c r="E38" s="20"/>
      <c r="F38" s="20"/>
      <c r="G38" s="20"/>
      <c r="H38" s="20"/>
    </row>
    <row r="39" spans="1:8" x14ac:dyDescent="0.3">
      <c r="A39" s="22"/>
      <c r="B39" s="20"/>
      <c r="C39" s="20">
        <v>17</v>
      </c>
      <c r="D39" s="20"/>
      <c r="E39" s="20"/>
      <c r="F39" s="20"/>
      <c r="G39" s="20"/>
      <c r="H39" s="20"/>
    </row>
    <row r="40" spans="1:8" x14ac:dyDescent="0.3">
      <c r="A40" s="22"/>
      <c r="B40" s="20"/>
      <c r="C40" s="20">
        <v>5.25</v>
      </c>
      <c r="D40" s="20"/>
      <c r="E40" s="20"/>
      <c r="F40" s="20"/>
      <c r="G40" s="20"/>
      <c r="H40" s="20"/>
    </row>
    <row r="41" spans="1:8" x14ac:dyDescent="0.3">
      <c r="A41" s="22">
        <v>43219</v>
      </c>
      <c r="B41" s="20"/>
      <c r="C41" s="20"/>
      <c r="D41" s="20"/>
      <c r="E41" s="20"/>
      <c r="F41" s="20"/>
      <c r="G41" s="20">
        <v>25.79</v>
      </c>
      <c r="H41" s="20" t="s">
        <v>106</v>
      </c>
    </row>
    <row r="42" spans="1:8" x14ac:dyDescent="0.3">
      <c r="A42" s="22">
        <v>43220</v>
      </c>
      <c r="B42" s="20">
        <v>12.32</v>
      </c>
      <c r="C42" s="20">
        <v>9</v>
      </c>
      <c r="D42" s="20"/>
      <c r="E42" s="20"/>
      <c r="F42" s="20"/>
      <c r="G42" s="20"/>
      <c r="H42" s="20"/>
    </row>
    <row r="43" spans="1:8" x14ac:dyDescent="0.3">
      <c r="A43" s="22"/>
      <c r="B43" s="20"/>
      <c r="C43" s="20"/>
      <c r="D43" s="20"/>
      <c r="E43" s="20"/>
      <c r="F43" s="20"/>
      <c r="G43" s="20">
        <v>117</v>
      </c>
      <c r="H43" s="20" t="s">
        <v>107</v>
      </c>
    </row>
    <row r="45" spans="1:8" x14ac:dyDescent="0.3">
      <c r="A45" s="20" t="s">
        <v>44</v>
      </c>
      <c r="B45" s="20">
        <v>146.68</v>
      </c>
      <c r="C45" s="20">
        <v>335.07</v>
      </c>
      <c r="D45" s="20">
        <v>166.98</v>
      </c>
      <c r="E45" s="21">
        <v>698.26</v>
      </c>
      <c r="F45" s="20"/>
      <c r="G45" s="20">
        <v>398.11</v>
      </c>
      <c r="H45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6731-071C-454D-A716-13720204D0B9}">
  <dimension ref="A1:H39"/>
  <sheetViews>
    <sheetView topLeftCell="A32" workbookViewId="0">
      <selection activeCell="A2" sqref="A2:H39"/>
    </sheetView>
  </sheetViews>
  <sheetFormatPr defaultRowHeight="14.4" x14ac:dyDescent="0.3"/>
  <cols>
    <col min="1" max="1" width="9.5546875" bestFit="1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19">
        <v>43221</v>
      </c>
      <c r="B2" s="17"/>
      <c r="C2" s="17"/>
      <c r="D2" s="17"/>
      <c r="E2" s="17">
        <v>565</v>
      </c>
      <c r="F2" s="17" t="s">
        <v>34</v>
      </c>
      <c r="G2" s="17"/>
      <c r="H2" s="17"/>
    </row>
    <row r="3" spans="1:8" x14ac:dyDescent="0.3">
      <c r="A3" s="19">
        <v>43222</v>
      </c>
      <c r="B3" s="17">
        <v>43.18</v>
      </c>
      <c r="C3" s="17">
        <v>10</v>
      </c>
      <c r="D3" s="17"/>
      <c r="E3" s="17"/>
      <c r="F3" s="17"/>
      <c r="G3" s="17"/>
      <c r="H3" s="17"/>
    </row>
    <row r="4" spans="1:8" x14ac:dyDescent="0.3">
      <c r="A4" s="19">
        <v>43223</v>
      </c>
      <c r="B4" s="17"/>
      <c r="C4" s="17">
        <v>15.25</v>
      </c>
      <c r="D4" s="17"/>
      <c r="E4" s="17"/>
      <c r="F4" s="17"/>
      <c r="G4" s="17">
        <v>31.35</v>
      </c>
      <c r="H4" s="17" t="s">
        <v>87</v>
      </c>
    </row>
    <row r="5" spans="1:8" x14ac:dyDescent="0.3">
      <c r="A5" s="19">
        <v>43224</v>
      </c>
      <c r="B5" s="17"/>
      <c r="C5" s="17">
        <v>14</v>
      </c>
      <c r="D5" s="17"/>
      <c r="E5" s="17">
        <v>12.99</v>
      </c>
      <c r="F5" s="17" t="s">
        <v>72</v>
      </c>
      <c r="G5" s="17"/>
      <c r="H5" s="17"/>
    </row>
    <row r="6" spans="1:8" x14ac:dyDescent="0.3">
      <c r="A6" s="19">
        <v>43225</v>
      </c>
      <c r="B6" s="17"/>
      <c r="C6" s="17"/>
      <c r="D6" s="17"/>
      <c r="E6" s="17"/>
      <c r="F6" s="17"/>
      <c r="G6" s="17"/>
      <c r="H6" s="17"/>
    </row>
    <row r="7" spans="1:8" x14ac:dyDescent="0.3">
      <c r="A7" s="19">
        <v>43226</v>
      </c>
      <c r="B7" s="17"/>
      <c r="C7" s="17"/>
      <c r="D7" s="17"/>
      <c r="E7" s="17"/>
      <c r="F7" s="17"/>
      <c r="G7" s="17"/>
      <c r="H7" s="17"/>
    </row>
    <row r="8" spans="1:8" x14ac:dyDescent="0.3">
      <c r="A8" s="19">
        <v>43227</v>
      </c>
      <c r="B8" s="17"/>
      <c r="C8" s="17">
        <v>21</v>
      </c>
      <c r="D8" s="17"/>
      <c r="E8" s="17"/>
      <c r="F8" s="17"/>
      <c r="G8" s="17"/>
      <c r="H8" s="17"/>
    </row>
    <row r="9" spans="1:8" x14ac:dyDescent="0.3">
      <c r="A9" s="19">
        <v>43228</v>
      </c>
      <c r="B9" s="17"/>
      <c r="C9" s="17"/>
      <c r="D9" s="17"/>
      <c r="E9" s="17"/>
      <c r="F9" s="17"/>
      <c r="G9" s="17"/>
      <c r="H9" s="17"/>
    </row>
    <row r="10" spans="1:8" x14ac:dyDescent="0.3">
      <c r="A10" s="19">
        <v>43229</v>
      </c>
      <c r="B10" s="17"/>
      <c r="C10" s="17">
        <v>9.3800000000000008</v>
      </c>
      <c r="D10" s="17"/>
      <c r="E10" s="17"/>
      <c r="F10" s="17"/>
      <c r="G10" s="17">
        <v>135</v>
      </c>
      <c r="H10" s="17" t="s">
        <v>88</v>
      </c>
    </row>
    <row r="11" spans="1:8" x14ac:dyDescent="0.3">
      <c r="A11" s="19"/>
      <c r="B11" s="17"/>
      <c r="C11" s="17">
        <v>14</v>
      </c>
      <c r="D11" s="17"/>
      <c r="E11" s="17"/>
      <c r="F11" s="17"/>
      <c r="G11" s="17"/>
      <c r="H11" s="17"/>
    </row>
    <row r="12" spans="1:8" x14ac:dyDescent="0.3">
      <c r="A12" s="19">
        <v>43230</v>
      </c>
      <c r="B12" s="17">
        <v>1.79</v>
      </c>
      <c r="C12" s="17">
        <v>16</v>
      </c>
      <c r="D12" s="17"/>
      <c r="E12" s="17"/>
      <c r="F12" s="17"/>
      <c r="G12" s="17"/>
      <c r="H12" s="17"/>
    </row>
    <row r="13" spans="1:8" x14ac:dyDescent="0.3">
      <c r="A13" s="19">
        <v>43231</v>
      </c>
      <c r="B13" s="17">
        <v>17.760000000000002</v>
      </c>
      <c r="C13" s="17">
        <v>7</v>
      </c>
      <c r="D13" s="17"/>
      <c r="E13" s="17"/>
      <c r="F13" s="17"/>
      <c r="G13" s="17"/>
      <c r="H13" s="17"/>
    </row>
    <row r="14" spans="1:8" x14ac:dyDescent="0.3">
      <c r="A14" s="19">
        <v>43232</v>
      </c>
      <c r="B14" s="17">
        <v>17.07</v>
      </c>
      <c r="C14" s="17"/>
      <c r="D14" s="17"/>
      <c r="E14" s="17"/>
      <c r="F14" s="17"/>
      <c r="G14" s="17"/>
      <c r="H14" s="17"/>
    </row>
    <row r="15" spans="1:8" x14ac:dyDescent="0.3">
      <c r="A15" s="19">
        <v>43233</v>
      </c>
      <c r="B15" s="17"/>
      <c r="C15" s="17"/>
      <c r="D15" s="17"/>
      <c r="E15" s="17"/>
      <c r="F15" s="17"/>
      <c r="G15" s="17">
        <v>80.39</v>
      </c>
      <c r="H15" s="17" t="s">
        <v>89</v>
      </c>
    </row>
    <row r="16" spans="1:8" x14ac:dyDescent="0.3">
      <c r="A16" s="19"/>
      <c r="B16" s="17"/>
      <c r="C16" s="17"/>
      <c r="D16" s="17"/>
      <c r="E16" s="17"/>
      <c r="F16" s="17"/>
      <c r="G16" s="17">
        <v>18.739999999999998</v>
      </c>
      <c r="H16" s="17" t="s">
        <v>90</v>
      </c>
    </row>
    <row r="17" spans="1:8" x14ac:dyDescent="0.3">
      <c r="A17" s="19">
        <v>43234</v>
      </c>
      <c r="B17" s="17"/>
      <c r="C17" s="17">
        <v>17.25</v>
      </c>
      <c r="D17" s="17"/>
      <c r="E17" s="17"/>
      <c r="F17" s="17"/>
      <c r="G17" s="17"/>
      <c r="H17" s="17"/>
    </row>
    <row r="18" spans="1:8" x14ac:dyDescent="0.3">
      <c r="A18" s="19">
        <v>43235</v>
      </c>
      <c r="B18" s="17">
        <v>33.590000000000003</v>
      </c>
      <c r="C18" s="17"/>
      <c r="D18" s="17"/>
      <c r="E18" s="17"/>
      <c r="F18" s="17"/>
      <c r="G18" s="17"/>
      <c r="H18" s="17"/>
    </row>
    <row r="19" spans="1:8" x14ac:dyDescent="0.3">
      <c r="A19" s="19">
        <v>43236</v>
      </c>
      <c r="B19" s="17">
        <v>46.21</v>
      </c>
      <c r="C19" s="17">
        <v>8</v>
      </c>
      <c r="D19" s="17"/>
      <c r="E19" s="17"/>
      <c r="F19" s="17"/>
      <c r="G19" s="17">
        <v>30</v>
      </c>
      <c r="H19" s="17" t="s">
        <v>91</v>
      </c>
    </row>
    <row r="20" spans="1:8" x14ac:dyDescent="0.3">
      <c r="A20" s="19"/>
      <c r="B20" s="17">
        <v>3.99</v>
      </c>
      <c r="C20" s="17"/>
      <c r="D20" s="17"/>
      <c r="E20" s="17"/>
      <c r="F20" s="17"/>
      <c r="G20" s="17"/>
      <c r="H20" s="17"/>
    </row>
    <row r="21" spans="1:8" x14ac:dyDescent="0.3">
      <c r="A21" s="19">
        <v>43237</v>
      </c>
      <c r="B21" s="17"/>
      <c r="C21" s="17">
        <v>5.49</v>
      </c>
      <c r="D21" s="17"/>
      <c r="E21" s="17">
        <v>44.99</v>
      </c>
      <c r="F21" s="17" t="s">
        <v>27</v>
      </c>
      <c r="G21" s="17"/>
      <c r="H21" s="17"/>
    </row>
    <row r="22" spans="1:8" x14ac:dyDescent="0.3">
      <c r="A22" s="19"/>
      <c r="B22" s="17"/>
      <c r="C22" s="17"/>
      <c r="D22" s="17"/>
      <c r="E22" s="17">
        <v>50</v>
      </c>
      <c r="F22" s="17" t="s">
        <v>92</v>
      </c>
      <c r="G22" s="17"/>
      <c r="H22" s="17"/>
    </row>
    <row r="23" spans="1:8" x14ac:dyDescent="0.3">
      <c r="A23" s="19">
        <v>43238</v>
      </c>
      <c r="B23" s="17"/>
      <c r="C23" s="17"/>
      <c r="D23" s="17"/>
      <c r="E23" s="17"/>
      <c r="F23" s="17"/>
      <c r="G23" s="17"/>
      <c r="H23" s="17"/>
    </row>
    <row r="24" spans="1:8" x14ac:dyDescent="0.3">
      <c r="A24" s="19">
        <v>43239</v>
      </c>
      <c r="B24" s="17"/>
      <c r="C24" s="17"/>
      <c r="D24" s="17"/>
      <c r="E24" s="17"/>
      <c r="F24" s="17"/>
      <c r="G24" s="17"/>
      <c r="H24" s="17"/>
    </row>
    <row r="25" spans="1:8" x14ac:dyDescent="0.3">
      <c r="A25" s="19">
        <v>43240</v>
      </c>
      <c r="B25" s="17"/>
      <c r="C25" s="17">
        <v>25</v>
      </c>
      <c r="D25" s="17"/>
      <c r="E25" s="17"/>
      <c r="F25" s="17"/>
      <c r="G25" s="17"/>
      <c r="H25" s="17"/>
    </row>
    <row r="26" spans="1:8" x14ac:dyDescent="0.3">
      <c r="A26" s="19">
        <v>43241</v>
      </c>
      <c r="B26" s="17"/>
      <c r="C26" s="17"/>
      <c r="D26" s="17"/>
      <c r="E26" s="17"/>
      <c r="F26" s="17"/>
      <c r="G26" s="17">
        <v>5</v>
      </c>
      <c r="H26" s="17" t="s">
        <v>93</v>
      </c>
    </row>
    <row r="27" spans="1:8" x14ac:dyDescent="0.3">
      <c r="A27" s="19"/>
      <c r="B27" s="17"/>
      <c r="C27" s="17"/>
      <c r="D27" s="17"/>
      <c r="E27" s="17"/>
      <c r="F27" s="17"/>
      <c r="G27" s="17">
        <v>59.37</v>
      </c>
      <c r="H27" s="17" t="s">
        <v>94</v>
      </c>
    </row>
    <row r="28" spans="1:8" x14ac:dyDescent="0.3">
      <c r="A28" s="19">
        <v>43242</v>
      </c>
      <c r="B28" s="17"/>
      <c r="C28" s="17"/>
      <c r="D28" s="17"/>
      <c r="E28" s="17"/>
      <c r="F28" s="17"/>
      <c r="G28" s="17">
        <v>75.75</v>
      </c>
      <c r="H28" s="17" t="s">
        <v>95</v>
      </c>
    </row>
    <row r="29" spans="1:8" x14ac:dyDescent="0.3">
      <c r="A29" s="19">
        <v>43243</v>
      </c>
      <c r="B29" s="17">
        <v>26.51</v>
      </c>
      <c r="C29" s="17"/>
      <c r="D29" s="17"/>
      <c r="E29" s="17">
        <v>14.99</v>
      </c>
      <c r="F29" s="17" t="s">
        <v>32</v>
      </c>
      <c r="G29" s="17"/>
      <c r="H29" s="17"/>
    </row>
    <row r="30" spans="1:8" x14ac:dyDescent="0.3">
      <c r="A30" s="19">
        <v>43244</v>
      </c>
      <c r="B30" s="17"/>
      <c r="C30" s="17"/>
      <c r="D30" s="17">
        <v>40.799999999999997</v>
      </c>
      <c r="E30" s="17"/>
      <c r="F30" s="17"/>
      <c r="G30" s="17"/>
      <c r="H30" s="17"/>
    </row>
    <row r="31" spans="1:8" x14ac:dyDescent="0.3">
      <c r="A31" s="19">
        <v>43245</v>
      </c>
      <c r="B31" s="17"/>
      <c r="C31" s="17"/>
      <c r="D31" s="17">
        <v>1</v>
      </c>
      <c r="E31" s="17"/>
      <c r="F31" s="17"/>
      <c r="G31" s="17"/>
      <c r="H31" s="17"/>
    </row>
    <row r="32" spans="1:8" x14ac:dyDescent="0.3">
      <c r="A32" s="19">
        <v>43246</v>
      </c>
      <c r="B32" s="17"/>
      <c r="C32" s="17">
        <v>10</v>
      </c>
      <c r="D32" s="17"/>
      <c r="E32" s="17">
        <v>12.99</v>
      </c>
      <c r="F32" s="17" t="s">
        <v>72</v>
      </c>
      <c r="G32" s="17"/>
      <c r="H32" s="17"/>
    </row>
    <row r="33" spans="1:8" x14ac:dyDescent="0.3">
      <c r="A33" s="19">
        <v>43247</v>
      </c>
      <c r="B33" s="17"/>
      <c r="C33" s="17">
        <v>3.9</v>
      </c>
      <c r="D33" s="17"/>
      <c r="E33" s="17"/>
      <c r="F33" s="17"/>
      <c r="G33" s="17"/>
      <c r="H33" s="17"/>
    </row>
    <row r="34" spans="1:8" x14ac:dyDescent="0.3">
      <c r="A34" s="19">
        <v>43248</v>
      </c>
      <c r="B34" s="17"/>
      <c r="C34" s="17">
        <v>14.6</v>
      </c>
      <c r="D34" s="17"/>
      <c r="E34" s="17"/>
      <c r="F34" s="17"/>
      <c r="G34" s="17">
        <v>15.96</v>
      </c>
      <c r="H34" s="17" t="s">
        <v>96</v>
      </c>
    </row>
    <row r="35" spans="1:8" x14ac:dyDescent="0.3">
      <c r="A35" s="19">
        <v>43249</v>
      </c>
      <c r="B35" s="17"/>
      <c r="C35" s="17">
        <v>15.7</v>
      </c>
      <c r="D35" s="17"/>
      <c r="E35" s="17">
        <v>50</v>
      </c>
      <c r="F35" s="17" t="s">
        <v>58</v>
      </c>
      <c r="G35" s="17">
        <v>3.09</v>
      </c>
      <c r="H35" s="17" t="s">
        <v>97</v>
      </c>
    </row>
    <row r="36" spans="1:8" x14ac:dyDescent="0.3">
      <c r="A36" s="19">
        <v>43250</v>
      </c>
      <c r="B36" s="17"/>
      <c r="C36" s="17"/>
      <c r="D36" s="17"/>
      <c r="E36" s="17"/>
      <c r="F36" s="17"/>
      <c r="G36" s="17"/>
      <c r="H36" s="17"/>
    </row>
    <row r="37" spans="1:8" x14ac:dyDescent="0.3">
      <c r="A37" s="19">
        <v>43251</v>
      </c>
      <c r="B37" s="17"/>
      <c r="C37" s="17">
        <v>6.5</v>
      </c>
      <c r="D37" s="17"/>
      <c r="E37" s="17">
        <v>44.99</v>
      </c>
      <c r="F37" s="17" t="s">
        <v>27</v>
      </c>
      <c r="G37" s="17"/>
      <c r="H37" s="17"/>
    </row>
    <row r="39" spans="1:8" x14ac:dyDescent="0.3">
      <c r="A39" s="17" t="s">
        <v>44</v>
      </c>
      <c r="B39" s="17">
        <v>190.1</v>
      </c>
      <c r="C39" s="17">
        <v>213.07</v>
      </c>
      <c r="D39" s="17">
        <v>41.8</v>
      </c>
      <c r="E39" s="18">
        <v>795.95</v>
      </c>
      <c r="F39" s="17"/>
      <c r="G39" s="17">
        <v>454.65</v>
      </c>
      <c r="H39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839A-3B93-4DE0-9A6E-F59AD64910FD}">
  <dimension ref="A1:H46"/>
  <sheetViews>
    <sheetView topLeftCell="A32" workbookViewId="0">
      <selection activeCell="A2" sqref="A2:H46"/>
    </sheetView>
  </sheetViews>
  <sheetFormatPr defaultRowHeight="14.4" x14ac:dyDescent="0.3"/>
  <cols>
    <col min="1" max="1" width="9.88671875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16">
        <v>43252</v>
      </c>
      <c r="B2" s="14"/>
      <c r="C2" s="14">
        <v>10</v>
      </c>
      <c r="D2" s="14"/>
      <c r="E2" s="14">
        <v>44.99</v>
      </c>
      <c r="F2" s="14" t="s">
        <v>27</v>
      </c>
      <c r="G2" s="14"/>
      <c r="H2" s="14"/>
    </row>
    <row r="3" spans="1:8" x14ac:dyDescent="0.3">
      <c r="A3" s="16">
        <v>43253</v>
      </c>
      <c r="B3" s="14"/>
      <c r="C3" s="14"/>
      <c r="D3" s="14"/>
      <c r="E3" s="14"/>
      <c r="F3" s="14"/>
      <c r="G3" s="14"/>
      <c r="H3" s="14"/>
    </row>
    <row r="4" spans="1:8" x14ac:dyDescent="0.3">
      <c r="A4" s="16">
        <v>43254</v>
      </c>
      <c r="B4" s="14"/>
      <c r="C4" s="14"/>
      <c r="D4" s="14">
        <v>46.69</v>
      </c>
      <c r="E4" s="14"/>
      <c r="F4" s="14"/>
      <c r="G4" s="14"/>
      <c r="H4" s="14"/>
    </row>
    <row r="5" spans="1:8" x14ac:dyDescent="0.3">
      <c r="A5" s="16">
        <v>43255</v>
      </c>
      <c r="B5" s="14"/>
      <c r="C5" s="14"/>
      <c r="D5" s="14">
        <v>33.11</v>
      </c>
      <c r="E5" s="14">
        <v>12.99</v>
      </c>
      <c r="F5" s="14" t="s">
        <v>72</v>
      </c>
      <c r="G5" s="14"/>
      <c r="H5" s="14"/>
    </row>
    <row r="6" spans="1:8" x14ac:dyDescent="0.3">
      <c r="A6" s="16">
        <v>43256</v>
      </c>
      <c r="B6" s="14"/>
      <c r="C6" s="14"/>
      <c r="D6" s="14"/>
      <c r="E6" s="14">
        <v>90.96</v>
      </c>
      <c r="F6" s="14" t="s">
        <v>78</v>
      </c>
      <c r="G6" s="14"/>
      <c r="H6" s="14"/>
    </row>
    <row r="7" spans="1:8" x14ac:dyDescent="0.3">
      <c r="A7" s="16">
        <v>43257</v>
      </c>
      <c r="B7" s="14"/>
      <c r="C7" s="14"/>
      <c r="D7" s="14"/>
      <c r="E7" s="14">
        <v>565</v>
      </c>
      <c r="F7" s="14" t="s">
        <v>20</v>
      </c>
      <c r="G7" s="14"/>
      <c r="H7" s="14"/>
    </row>
    <row r="8" spans="1:8" x14ac:dyDescent="0.3">
      <c r="A8" s="16">
        <v>43258</v>
      </c>
      <c r="B8" s="14"/>
      <c r="C8" s="14"/>
      <c r="D8" s="14"/>
      <c r="E8" s="14"/>
      <c r="F8" s="14"/>
      <c r="G8" s="14">
        <v>16.5</v>
      </c>
      <c r="H8" s="14" t="s">
        <v>79</v>
      </c>
    </row>
    <row r="9" spans="1:8" x14ac:dyDescent="0.3">
      <c r="A9" s="16">
        <v>43259</v>
      </c>
      <c r="B9" s="14">
        <v>6.98</v>
      </c>
      <c r="C9" s="14"/>
      <c r="D9" s="14"/>
      <c r="E9" s="14"/>
      <c r="F9" s="14"/>
      <c r="G9" s="14"/>
      <c r="H9" s="14"/>
    </row>
    <row r="10" spans="1:8" x14ac:dyDescent="0.3">
      <c r="A10" s="16">
        <v>43260</v>
      </c>
      <c r="B10" s="14"/>
      <c r="C10" s="14"/>
      <c r="D10" s="14"/>
      <c r="E10" s="14"/>
      <c r="F10" s="14"/>
      <c r="G10" s="14"/>
      <c r="H10" s="14"/>
    </row>
    <row r="11" spans="1:8" x14ac:dyDescent="0.3">
      <c r="A11" s="16">
        <v>43261</v>
      </c>
      <c r="B11" s="14"/>
      <c r="C11" s="14"/>
      <c r="D11" s="14"/>
      <c r="E11" s="14"/>
      <c r="F11" s="14"/>
      <c r="G11" s="14"/>
      <c r="H11" s="14"/>
    </row>
    <row r="12" spans="1:8" x14ac:dyDescent="0.3">
      <c r="A12" s="16">
        <v>43262</v>
      </c>
      <c r="B12" s="14"/>
      <c r="C12" s="14">
        <v>10</v>
      </c>
      <c r="D12" s="14"/>
      <c r="E12" s="14"/>
      <c r="F12" s="14"/>
      <c r="G12" s="14"/>
      <c r="H12" s="14"/>
    </row>
    <row r="13" spans="1:8" x14ac:dyDescent="0.3">
      <c r="A13" s="16">
        <v>43263</v>
      </c>
      <c r="B13" s="14"/>
      <c r="C13" s="14"/>
      <c r="D13" s="14"/>
      <c r="E13" s="14"/>
      <c r="F13" s="14"/>
      <c r="G13" s="14">
        <v>77</v>
      </c>
      <c r="H13" s="14" t="s">
        <v>80</v>
      </c>
    </row>
    <row r="14" spans="1:8" x14ac:dyDescent="0.3">
      <c r="A14" s="16">
        <v>43264</v>
      </c>
      <c r="B14" s="14"/>
      <c r="C14" s="14"/>
      <c r="D14" s="14"/>
      <c r="E14" s="14"/>
      <c r="F14" s="14"/>
      <c r="G14" s="14">
        <v>6.98</v>
      </c>
      <c r="H14" s="14" t="s">
        <v>81</v>
      </c>
    </row>
    <row r="15" spans="1:8" x14ac:dyDescent="0.3">
      <c r="A15" s="16">
        <v>43265</v>
      </c>
      <c r="B15" s="14"/>
      <c r="C15" s="14">
        <v>13.5</v>
      </c>
      <c r="D15" s="14">
        <v>3.5</v>
      </c>
      <c r="E15" s="14"/>
      <c r="F15" s="14"/>
      <c r="G15" s="14"/>
      <c r="H15" s="14"/>
    </row>
    <row r="16" spans="1:8" x14ac:dyDescent="0.3">
      <c r="A16" s="16">
        <v>43266</v>
      </c>
      <c r="B16" s="14"/>
      <c r="C16" s="14">
        <v>12</v>
      </c>
      <c r="D16" s="14"/>
      <c r="E16" s="14"/>
      <c r="F16" s="14"/>
      <c r="G16" s="14"/>
      <c r="H16" s="14"/>
    </row>
    <row r="17" spans="1:8" x14ac:dyDescent="0.3">
      <c r="A17" s="16">
        <v>43267</v>
      </c>
      <c r="B17" s="14">
        <v>1.05</v>
      </c>
      <c r="C17" s="14">
        <v>7</v>
      </c>
      <c r="D17" s="14"/>
      <c r="E17" s="14"/>
      <c r="F17" s="14"/>
      <c r="G17" s="14">
        <v>25</v>
      </c>
      <c r="H17" s="14" t="s">
        <v>82</v>
      </c>
    </row>
    <row r="18" spans="1:8" x14ac:dyDescent="0.3">
      <c r="A18" s="16">
        <v>43268</v>
      </c>
      <c r="B18" s="14"/>
      <c r="C18" s="14">
        <v>8.75</v>
      </c>
      <c r="D18" s="14"/>
      <c r="E18" s="14"/>
      <c r="F18" s="14"/>
      <c r="G18" s="14"/>
      <c r="H18" s="14"/>
    </row>
    <row r="19" spans="1:8" x14ac:dyDescent="0.3">
      <c r="A19" s="16">
        <v>43269</v>
      </c>
      <c r="B19" s="14">
        <v>26.95</v>
      </c>
      <c r="C19" s="14">
        <v>9.23</v>
      </c>
      <c r="D19" s="14">
        <v>43.72</v>
      </c>
      <c r="E19" s="14"/>
      <c r="F19" s="14"/>
      <c r="G19" s="14"/>
      <c r="H19" s="14"/>
    </row>
    <row r="20" spans="1:8" x14ac:dyDescent="0.3">
      <c r="A20" s="16">
        <v>43270</v>
      </c>
      <c r="B20" s="14">
        <v>8.3800000000000008</v>
      </c>
      <c r="C20" s="14">
        <v>20.09</v>
      </c>
      <c r="D20" s="14"/>
      <c r="E20" s="14">
        <v>51.52</v>
      </c>
      <c r="F20" s="14" t="s">
        <v>67</v>
      </c>
      <c r="G20" s="14"/>
      <c r="H20" s="14"/>
    </row>
    <row r="21" spans="1:8" x14ac:dyDescent="0.3">
      <c r="A21" s="16"/>
      <c r="B21" s="14"/>
      <c r="C21" s="14">
        <v>15</v>
      </c>
      <c r="D21" s="14"/>
      <c r="E21" s="14"/>
      <c r="F21" s="14"/>
      <c r="G21" s="14"/>
      <c r="H21" s="14"/>
    </row>
    <row r="22" spans="1:8" x14ac:dyDescent="0.3">
      <c r="A22" s="16">
        <v>43271</v>
      </c>
      <c r="B22" s="14"/>
      <c r="C22" s="14">
        <v>6</v>
      </c>
      <c r="D22" s="14">
        <v>4.5</v>
      </c>
      <c r="E22" s="14"/>
      <c r="F22" s="14"/>
      <c r="G22" s="14"/>
      <c r="H22" s="14"/>
    </row>
    <row r="23" spans="1:8" x14ac:dyDescent="0.3">
      <c r="A23" s="16"/>
      <c r="B23" s="14"/>
      <c r="C23" s="14">
        <v>8.9499999999999993</v>
      </c>
      <c r="D23" s="14"/>
      <c r="E23" s="14"/>
      <c r="F23" s="14"/>
      <c r="G23" s="14"/>
      <c r="H23" s="14"/>
    </row>
    <row r="24" spans="1:8" x14ac:dyDescent="0.3">
      <c r="A24" s="16"/>
      <c r="B24" s="14"/>
      <c r="C24" s="14">
        <v>9.6</v>
      </c>
      <c r="D24" s="14"/>
      <c r="E24" s="14"/>
      <c r="F24" s="14"/>
      <c r="G24" s="14"/>
      <c r="H24" s="14"/>
    </row>
    <row r="25" spans="1:8" x14ac:dyDescent="0.3">
      <c r="A25" s="16"/>
      <c r="B25" s="14"/>
      <c r="C25" s="14"/>
      <c r="D25" s="14"/>
      <c r="E25" s="14"/>
      <c r="F25" s="14"/>
      <c r="G25" s="14">
        <v>21.22</v>
      </c>
      <c r="H25" s="14" t="s">
        <v>83</v>
      </c>
    </row>
    <row r="26" spans="1:8" x14ac:dyDescent="0.3">
      <c r="A26" s="16">
        <v>43272</v>
      </c>
      <c r="B26" s="14">
        <v>23.97</v>
      </c>
      <c r="C26" s="14">
        <v>13</v>
      </c>
      <c r="D26" s="14"/>
      <c r="E26" s="14"/>
      <c r="F26" s="14"/>
      <c r="G26" s="14">
        <v>53.34</v>
      </c>
      <c r="H26" s="14" t="s">
        <v>84</v>
      </c>
    </row>
    <row r="27" spans="1:8" x14ac:dyDescent="0.3">
      <c r="A27" s="16"/>
      <c r="B27" s="14">
        <v>31.7</v>
      </c>
      <c r="C27" s="14">
        <v>8.1</v>
      </c>
      <c r="D27" s="14"/>
      <c r="E27" s="14"/>
      <c r="F27" s="14"/>
      <c r="G27" s="14"/>
      <c r="H27" s="14"/>
    </row>
    <row r="28" spans="1:8" x14ac:dyDescent="0.3">
      <c r="A28" s="16">
        <v>43273</v>
      </c>
      <c r="B28" s="14"/>
      <c r="C28" s="14">
        <v>5</v>
      </c>
      <c r="D28" s="14">
        <v>4.5</v>
      </c>
      <c r="E28" s="14"/>
      <c r="F28" s="14"/>
      <c r="G28" s="14">
        <v>13.95</v>
      </c>
      <c r="H28" s="14" t="s">
        <v>85</v>
      </c>
    </row>
    <row r="29" spans="1:8" x14ac:dyDescent="0.3">
      <c r="A29" s="16">
        <v>43274</v>
      </c>
      <c r="B29" s="14"/>
      <c r="C29" s="14"/>
      <c r="D29" s="14"/>
      <c r="E29" s="14"/>
      <c r="F29" s="14"/>
      <c r="G29" s="14"/>
      <c r="H29" s="14"/>
    </row>
    <row r="30" spans="1:8" x14ac:dyDescent="0.3">
      <c r="A30" s="16">
        <v>43275</v>
      </c>
      <c r="B30" s="14"/>
      <c r="C30" s="14"/>
      <c r="D30" s="14"/>
      <c r="E30" s="14"/>
      <c r="F30" s="14"/>
      <c r="G30" s="14"/>
      <c r="H30" s="14"/>
    </row>
    <row r="31" spans="1:8" x14ac:dyDescent="0.3">
      <c r="A31" s="16">
        <v>43276</v>
      </c>
      <c r="B31" s="14">
        <v>1.69</v>
      </c>
      <c r="C31" s="14">
        <v>8.9499999999999993</v>
      </c>
      <c r="D31" s="14"/>
      <c r="E31" s="14">
        <v>14.99</v>
      </c>
      <c r="F31" s="14" t="s">
        <v>32</v>
      </c>
      <c r="G31" s="14"/>
      <c r="H31" s="14"/>
    </row>
    <row r="32" spans="1:8" x14ac:dyDescent="0.3">
      <c r="A32" s="16"/>
      <c r="B32" s="14"/>
      <c r="C32" s="14">
        <v>9</v>
      </c>
      <c r="D32" s="14"/>
      <c r="E32" s="14"/>
      <c r="F32" s="14"/>
      <c r="G32" s="14"/>
      <c r="H32" s="14"/>
    </row>
    <row r="33" spans="1:8" x14ac:dyDescent="0.3">
      <c r="A33" s="16"/>
      <c r="B33" s="14"/>
      <c r="C33" s="14">
        <v>15</v>
      </c>
      <c r="D33" s="14"/>
      <c r="E33" s="14"/>
      <c r="F33" s="14"/>
      <c r="G33" s="14"/>
      <c r="H33" s="14"/>
    </row>
    <row r="34" spans="1:8" x14ac:dyDescent="0.3">
      <c r="A34" s="16"/>
      <c r="B34" s="14"/>
      <c r="C34" s="14">
        <v>11</v>
      </c>
      <c r="D34" s="14"/>
      <c r="E34" s="14"/>
      <c r="F34" s="14"/>
      <c r="G34" s="14"/>
      <c r="H34" s="14"/>
    </row>
    <row r="35" spans="1:8" x14ac:dyDescent="0.3">
      <c r="A35" s="16"/>
      <c r="B35" s="14"/>
      <c r="C35" s="14">
        <v>6.5</v>
      </c>
      <c r="D35" s="14"/>
      <c r="E35" s="14"/>
      <c r="F35" s="14"/>
      <c r="G35" s="14"/>
      <c r="H35" s="14"/>
    </row>
    <row r="36" spans="1:8" x14ac:dyDescent="0.3">
      <c r="A36" s="16">
        <v>43277</v>
      </c>
      <c r="B36" s="14"/>
      <c r="C36" s="14">
        <v>15.54</v>
      </c>
      <c r="D36" s="14"/>
      <c r="E36" s="14">
        <v>12.99</v>
      </c>
      <c r="F36" s="14" t="s">
        <v>72</v>
      </c>
      <c r="G36" s="14"/>
      <c r="H36" s="14"/>
    </row>
    <row r="37" spans="1:8" x14ac:dyDescent="0.3">
      <c r="A37" s="16">
        <v>43278</v>
      </c>
      <c r="B37" s="14">
        <v>4.6500000000000004</v>
      </c>
      <c r="C37" s="14">
        <v>13</v>
      </c>
      <c r="D37" s="14"/>
      <c r="E37" s="14"/>
      <c r="F37" s="14"/>
      <c r="G37" s="14">
        <v>2</v>
      </c>
      <c r="H37" s="14" t="s">
        <v>86</v>
      </c>
    </row>
    <row r="38" spans="1:8" x14ac:dyDescent="0.3">
      <c r="A38" s="16">
        <v>43279</v>
      </c>
      <c r="B38" s="14"/>
      <c r="C38" s="14">
        <v>17.100000000000001</v>
      </c>
      <c r="D38" s="14"/>
      <c r="E38" s="14"/>
      <c r="F38" s="14"/>
      <c r="G38" s="14"/>
      <c r="H38" s="14"/>
    </row>
    <row r="39" spans="1:8" x14ac:dyDescent="0.3">
      <c r="A39" s="16"/>
      <c r="B39" s="14"/>
      <c r="C39" s="14">
        <v>27</v>
      </c>
      <c r="D39" s="14"/>
      <c r="E39" s="14"/>
      <c r="F39" s="14"/>
      <c r="G39" s="14"/>
      <c r="H39" s="14"/>
    </row>
    <row r="40" spans="1:8" x14ac:dyDescent="0.3">
      <c r="A40" s="16">
        <v>43280</v>
      </c>
      <c r="B40" s="14"/>
      <c r="C40" s="14"/>
      <c r="D40" s="14"/>
      <c r="E40" s="14"/>
      <c r="F40" s="14"/>
      <c r="G40" s="14"/>
      <c r="H40" s="14"/>
    </row>
    <row r="41" spans="1:8" x14ac:dyDescent="0.3">
      <c r="A41" s="16">
        <v>43281</v>
      </c>
      <c r="B41" s="14"/>
      <c r="C41" s="14">
        <v>3.25</v>
      </c>
      <c r="D41" s="14"/>
      <c r="E41" s="14"/>
      <c r="F41" s="14"/>
      <c r="G41" s="14"/>
      <c r="H41" s="14"/>
    </row>
    <row r="42" spans="1:8" x14ac:dyDescent="0.3">
      <c r="A42" s="16"/>
      <c r="B42" s="14"/>
      <c r="C42" s="14">
        <v>3.25</v>
      </c>
      <c r="D42" s="14"/>
      <c r="E42" s="14"/>
      <c r="F42" s="14"/>
      <c r="G42" s="14"/>
      <c r="H42" s="14"/>
    </row>
    <row r="43" spans="1:8" x14ac:dyDescent="0.3">
      <c r="A43" s="16"/>
      <c r="B43" s="14"/>
      <c r="C43" s="14">
        <v>4.5</v>
      </c>
      <c r="D43" s="14"/>
      <c r="E43" s="14"/>
      <c r="F43" s="14"/>
      <c r="G43" s="14"/>
      <c r="H43" s="14"/>
    </row>
    <row r="44" spans="1:8" x14ac:dyDescent="0.3">
      <c r="A44" s="16"/>
      <c r="B44" s="14"/>
      <c r="C44" s="14"/>
      <c r="D44" s="14"/>
      <c r="E44" s="14"/>
      <c r="F44" s="14"/>
      <c r="G44" s="14"/>
      <c r="H44" s="14"/>
    </row>
    <row r="46" spans="1:8" x14ac:dyDescent="0.3">
      <c r="A46" s="14" t="s">
        <v>44</v>
      </c>
      <c r="B46" s="14">
        <v>105.37</v>
      </c>
      <c r="C46" s="14">
        <v>290.31</v>
      </c>
      <c r="D46" s="14">
        <v>136.02000000000001</v>
      </c>
      <c r="E46" s="15">
        <v>793.44</v>
      </c>
      <c r="F46" s="14"/>
      <c r="G46" s="14">
        <v>215.99</v>
      </c>
      <c r="H46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F06F-F881-4E34-BF73-6AA4C7A6967A}">
  <dimension ref="A1:H47"/>
  <sheetViews>
    <sheetView topLeftCell="A27" workbookViewId="0">
      <selection activeCell="A2" sqref="A2:H47"/>
    </sheetView>
  </sheetViews>
  <sheetFormatPr defaultRowHeight="14.4" x14ac:dyDescent="0.3"/>
  <cols>
    <col min="1" max="1" width="10.5546875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13">
        <v>43282</v>
      </c>
      <c r="B2" s="11"/>
      <c r="C2" s="11">
        <v>4.25</v>
      </c>
      <c r="D2" s="11"/>
      <c r="E2" s="11"/>
      <c r="F2" s="11"/>
      <c r="G2" s="11"/>
      <c r="H2" s="11"/>
    </row>
    <row r="3" spans="1:8" x14ac:dyDescent="0.3">
      <c r="A3" s="13">
        <v>43283</v>
      </c>
      <c r="B3" s="11">
        <v>20.49</v>
      </c>
      <c r="C3" s="11">
        <v>15</v>
      </c>
      <c r="D3" s="11">
        <v>63.49</v>
      </c>
      <c r="E3" s="11">
        <v>565</v>
      </c>
      <c r="F3" s="11" t="s">
        <v>20</v>
      </c>
      <c r="G3" s="11" t="s">
        <v>69</v>
      </c>
      <c r="H3" s="11" t="s">
        <v>70</v>
      </c>
    </row>
    <row r="4" spans="1:8" x14ac:dyDescent="0.3">
      <c r="A4" s="13"/>
      <c r="B4" s="11">
        <v>35.51</v>
      </c>
      <c r="C4" s="11">
        <v>14.31</v>
      </c>
      <c r="D4" s="11"/>
      <c r="E4" s="11"/>
      <c r="F4" s="11"/>
      <c r="G4" s="11"/>
      <c r="H4" s="11"/>
    </row>
    <row r="5" spans="1:8" x14ac:dyDescent="0.3">
      <c r="A5" s="13">
        <v>43284</v>
      </c>
      <c r="B5" s="11"/>
      <c r="C5" s="11"/>
      <c r="D5" s="11">
        <v>2</v>
      </c>
      <c r="E5" s="11">
        <v>90.96</v>
      </c>
      <c r="F5" s="11" t="s">
        <v>46</v>
      </c>
      <c r="G5" s="11">
        <v>254.51</v>
      </c>
      <c r="H5" s="11" t="s">
        <v>71</v>
      </c>
    </row>
    <row r="6" spans="1:8" x14ac:dyDescent="0.3">
      <c r="A6" s="13">
        <v>43285</v>
      </c>
      <c r="B6" s="11"/>
      <c r="C6" s="11">
        <v>7</v>
      </c>
      <c r="D6" s="11"/>
      <c r="E6" s="11">
        <v>12.99</v>
      </c>
      <c r="F6" s="11" t="s">
        <v>72</v>
      </c>
      <c r="G6" s="11">
        <v>28.99</v>
      </c>
      <c r="H6" s="11" t="s">
        <v>73</v>
      </c>
    </row>
    <row r="7" spans="1:8" x14ac:dyDescent="0.3">
      <c r="A7" s="13">
        <v>43286</v>
      </c>
      <c r="B7" s="11"/>
      <c r="C7" s="11"/>
      <c r="D7" s="11"/>
      <c r="E7" s="11"/>
      <c r="F7" s="11"/>
      <c r="G7" s="11"/>
      <c r="H7" s="11"/>
    </row>
    <row r="8" spans="1:8" x14ac:dyDescent="0.3">
      <c r="A8" s="13">
        <v>43287</v>
      </c>
      <c r="B8" s="11"/>
      <c r="C8" s="11">
        <v>8.5</v>
      </c>
      <c r="D8" s="11"/>
      <c r="E8" s="11"/>
      <c r="F8" s="11"/>
      <c r="G8" s="11"/>
      <c r="H8" s="11"/>
    </row>
    <row r="9" spans="1:8" x14ac:dyDescent="0.3">
      <c r="A9" s="13"/>
      <c r="B9" s="11"/>
      <c r="C9" s="11">
        <v>10</v>
      </c>
      <c r="D9" s="11"/>
      <c r="E9" s="11"/>
      <c r="F9" s="11"/>
      <c r="G9" s="11"/>
      <c r="H9" s="11"/>
    </row>
    <row r="10" spans="1:8" x14ac:dyDescent="0.3">
      <c r="A10" s="13">
        <v>43288</v>
      </c>
      <c r="B10" s="11"/>
      <c r="C10" s="11">
        <v>6</v>
      </c>
      <c r="D10" s="11"/>
      <c r="E10" s="11"/>
      <c r="F10" s="11"/>
      <c r="G10" s="11"/>
      <c r="H10" s="11"/>
    </row>
    <row r="11" spans="1:8" x14ac:dyDescent="0.3">
      <c r="A11" s="13"/>
      <c r="B11" s="11"/>
      <c r="C11" s="11">
        <v>5</v>
      </c>
      <c r="D11" s="11"/>
      <c r="E11" s="11"/>
      <c r="F11" s="11"/>
      <c r="G11" s="11"/>
      <c r="H11" s="11"/>
    </row>
    <row r="12" spans="1:8" x14ac:dyDescent="0.3">
      <c r="A12" s="13">
        <v>43289</v>
      </c>
      <c r="B12" s="11"/>
      <c r="C12" s="11">
        <v>6.5</v>
      </c>
      <c r="D12" s="11"/>
      <c r="E12" s="11"/>
      <c r="F12" s="11"/>
      <c r="G12" s="11"/>
      <c r="H12" s="11"/>
    </row>
    <row r="13" spans="1:8" x14ac:dyDescent="0.3">
      <c r="A13" s="13">
        <v>43290</v>
      </c>
      <c r="B13" s="11">
        <v>36.82</v>
      </c>
      <c r="C13" s="11">
        <v>9</v>
      </c>
      <c r="D13" s="11"/>
      <c r="E13" s="11"/>
      <c r="F13" s="11"/>
      <c r="G13" s="11">
        <v>10</v>
      </c>
      <c r="H13" s="11" t="s">
        <v>74</v>
      </c>
    </row>
    <row r="14" spans="1:8" x14ac:dyDescent="0.3">
      <c r="A14" s="13"/>
      <c r="B14" s="11"/>
      <c r="C14" s="11">
        <v>13</v>
      </c>
      <c r="D14" s="11"/>
      <c r="E14" s="11"/>
      <c r="F14" s="11"/>
      <c r="G14" s="11"/>
      <c r="H14" s="11"/>
    </row>
    <row r="15" spans="1:8" x14ac:dyDescent="0.3">
      <c r="A15" s="13"/>
      <c r="B15" s="11"/>
      <c r="C15" s="11">
        <v>28</v>
      </c>
      <c r="D15" s="11"/>
      <c r="E15" s="11"/>
      <c r="F15" s="11"/>
      <c r="G15" s="11"/>
      <c r="H15" s="11"/>
    </row>
    <row r="16" spans="1:8" x14ac:dyDescent="0.3">
      <c r="A16" s="13"/>
      <c r="B16" s="11"/>
      <c r="C16" s="11">
        <v>17.809999999999999</v>
      </c>
      <c r="D16" s="11"/>
      <c r="E16" s="11"/>
      <c r="F16" s="11"/>
      <c r="G16" s="11"/>
      <c r="H16" s="11"/>
    </row>
    <row r="17" spans="1:8" x14ac:dyDescent="0.3">
      <c r="A17" s="13">
        <v>43291</v>
      </c>
      <c r="B17" s="11"/>
      <c r="C17" s="11"/>
      <c r="D17" s="11"/>
      <c r="E17" s="11"/>
      <c r="F17" s="11"/>
      <c r="G17" s="11"/>
      <c r="H17" s="11"/>
    </row>
    <row r="18" spans="1:8" x14ac:dyDescent="0.3">
      <c r="A18" s="13">
        <v>43292</v>
      </c>
      <c r="B18" s="11"/>
      <c r="C18" s="11">
        <v>18.75</v>
      </c>
      <c r="D18" s="11"/>
      <c r="E18" s="11"/>
      <c r="F18" s="11"/>
      <c r="G18" s="11"/>
      <c r="H18" s="11"/>
    </row>
    <row r="19" spans="1:8" x14ac:dyDescent="0.3">
      <c r="A19" s="13">
        <v>43293</v>
      </c>
      <c r="B19" s="11"/>
      <c r="C19" s="11"/>
      <c r="D19" s="11"/>
      <c r="E19" s="11">
        <v>62.04</v>
      </c>
      <c r="F19" s="11" t="s">
        <v>58</v>
      </c>
      <c r="G19" s="11"/>
      <c r="H19" s="11"/>
    </row>
    <row r="20" spans="1:8" x14ac:dyDescent="0.3">
      <c r="A20" s="13">
        <v>43294</v>
      </c>
      <c r="B20" s="11"/>
      <c r="C20" s="11"/>
      <c r="D20" s="11">
        <v>4.5</v>
      </c>
      <c r="E20" s="11"/>
      <c r="F20" s="11"/>
      <c r="G20" s="11"/>
      <c r="H20" s="11"/>
    </row>
    <row r="21" spans="1:8" x14ac:dyDescent="0.3">
      <c r="A21" s="13">
        <v>43295</v>
      </c>
      <c r="B21" s="11"/>
      <c r="C21" s="11">
        <v>8.75</v>
      </c>
      <c r="D21" s="11">
        <v>45.31</v>
      </c>
      <c r="E21" s="11"/>
      <c r="F21" s="11"/>
      <c r="G21" s="11"/>
      <c r="H21" s="11"/>
    </row>
    <row r="22" spans="1:8" x14ac:dyDescent="0.3">
      <c r="A22" s="13">
        <v>43296</v>
      </c>
      <c r="B22" s="11"/>
      <c r="C22" s="11"/>
      <c r="D22" s="11"/>
      <c r="E22" s="11"/>
      <c r="F22" s="11"/>
      <c r="G22" s="11"/>
      <c r="H22" s="11"/>
    </row>
    <row r="23" spans="1:8" x14ac:dyDescent="0.3">
      <c r="A23" s="13">
        <v>43297</v>
      </c>
      <c r="B23" s="11">
        <v>9.99</v>
      </c>
      <c r="C23" s="11"/>
      <c r="D23" s="11"/>
      <c r="E23" s="11">
        <v>44.99</v>
      </c>
      <c r="F23" s="11" t="s">
        <v>27</v>
      </c>
      <c r="G23" s="11"/>
      <c r="H23" s="11"/>
    </row>
    <row r="24" spans="1:8" x14ac:dyDescent="0.3">
      <c r="A24" s="13"/>
      <c r="B24" s="11">
        <v>5.88</v>
      </c>
      <c r="C24" s="11"/>
      <c r="D24" s="11"/>
      <c r="E24" s="11"/>
      <c r="F24" s="11"/>
      <c r="G24" s="11"/>
      <c r="H24" s="11"/>
    </row>
    <row r="25" spans="1:8" x14ac:dyDescent="0.3">
      <c r="A25" s="13"/>
      <c r="B25" s="11">
        <v>15.88</v>
      </c>
      <c r="C25" s="11"/>
      <c r="D25" s="11"/>
      <c r="E25" s="11"/>
      <c r="F25" s="11"/>
      <c r="G25" s="11"/>
      <c r="H25" s="11"/>
    </row>
    <row r="26" spans="1:8" x14ac:dyDescent="0.3">
      <c r="A26" s="13">
        <v>43298</v>
      </c>
      <c r="B26" s="11"/>
      <c r="C26" s="11">
        <v>16.190000000000001</v>
      </c>
      <c r="D26" s="11"/>
      <c r="E26" s="11"/>
      <c r="F26" s="11"/>
      <c r="G26" s="11"/>
      <c r="H26" s="11"/>
    </row>
    <row r="27" spans="1:8" x14ac:dyDescent="0.3">
      <c r="A27" s="13">
        <v>43299</v>
      </c>
      <c r="B27" s="11"/>
      <c r="C27" s="11">
        <v>19</v>
      </c>
      <c r="D27" s="11"/>
      <c r="E27" s="11">
        <v>51.54</v>
      </c>
      <c r="F27" s="11" t="s">
        <v>30</v>
      </c>
      <c r="G27" s="11">
        <v>14.69</v>
      </c>
      <c r="H27" s="11" t="s">
        <v>68</v>
      </c>
    </row>
    <row r="28" spans="1:8" x14ac:dyDescent="0.3">
      <c r="A28" s="13">
        <v>43300</v>
      </c>
      <c r="B28" s="11"/>
      <c r="C28" s="11"/>
      <c r="D28" s="11"/>
      <c r="E28" s="11"/>
      <c r="F28" s="11"/>
      <c r="G28" s="11">
        <v>44.2</v>
      </c>
      <c r="H28" s="11" t="s">
        <v>75</v>
      </c>
    </row>
    <row r="29" spans="1:8" x14ac:dyDescent="0.3">
      <c r="A29" s="13">
        <v>43301</v>
      </c>
      <c r="B29" s="11"/>
      <c r="C29" s="11">
        <v>13.69</v>
      </c>
      <c r="D29" s="11"/>
      <c r="E29" s="11"/>
      <c r="F29" s="11"/>
      <c r="G29" s="11"/>
      <c r="H29" s="11"/>
    </row>
    <row r="30" spans="1:8" x14ac:dyDescent="0.3">
      <c r="A30" s="13">
        <v>43302</v>
      </c>
      <c r="B30" s="11"/>
      <c r="C30" s="11">
        <v>11.5</v>
      </c>
      <c r="D30" s="11">
        <v>21.56</v>
      </c>
      <c r="E30" s="11"/>
      <c r="F30" s="11"/>
      <c r="G30" s="11"/>
      <c r="H30" s="11"/>
    </row>
    <row r="31" spans="1:8" x14ac:dyDescent="0.3">
      <c r="A31" s="13">
        <v>43303</v>
      </c>
      <c r="B31" s="11">
        <v>5</v>
      </c>
      <c r="C31" s="11">
        <v>1.02</v>
      </c>
      <c r="D31" s="11"/>
      <c r="E31" s="11"/>
      <c r="F31" s="11"/>
      <c r="G31" s="11"/>
      <c r="H31" s="11"/>
    </row>
    <row r="32" spans="1:8" x14ac:dyDescent="0.3">
      <c r="A32" s="13"/>
      <c r="B32" s="11"/>
      <c r="C32" s="11">
        <v>18.5</v>
      </c>
      <c r="D32" s="11"/>
      <c r="E32" s="11"/>
      <c r="F32" s="11"/>
      <c r="G32" s="11"/>
      <c r="H32" s="11"/>
    </row>
    <row r="33" spans="1:8" x14ac:dyDescent="0.3">
      <c r="A33" s="13">
        <v>43304</v>
      </c>
      <c r="B33" s="11"/>
      <c r="C33" s="11">
        <v>14.5</v>
      </c>
      <c r="D33" s="11">
        <v>21.56</v>
      </c>
      <c r="E33" s="11"/>
      <c r="F33" s="11"/>
      <c r="G33" s="11">
        <v>38.299999999999997</v>
      </c>
      <c r="H33" s="11" t="s">
        <v>76</v>
      </c>
    </row>
    <row r="34" spans="1:8" x14ac:dyDescent="0.3">
      <c r="A34" s="13">
        <v>43305</v>
      </c>
      <c r="B34" s="11">
        <v>5</v>
      </c>
      <c r="C34" s="11">
        <v>1.02</v>
      </c>
      <c r="D34" s="11"/>
      <c r="E34" s="11">
        <v>14.99</v>
      </c>
      <c r="F34" s="11" t="s">
        <v>32</v>
      </c>
      <c r="G34" s="11"/>
      <c r="H34" s="11"/>
    </row>
    <row r="35" spans="1:8" x14ac:dyDescent="0.3">
      <c r="A35" s="13"/>
      <c r="B35" s="11"/>
      <c r="C35" s="11">
        <v>22.5</v>
      </c>
      <c r="D35" s="11"/>
      <c r="E35" s="11"/>
      <c r="F35" s="11"/>
      <c r="G35" s="11"/>
      <c r="H35" s="11"/>
    </row>
    <row r="36" spans="1:8" x14ac:dyDescent="0.3">
      <c r="A36" s="13">
        <v>43306</v>
      </c>
      <c r="B36" s="11">
        <v>1.05</v>
      </c>
      <c r="C36" s="11">
        <v>14.92</v>
      </c>
      <c r="D36" s="11"/>
      <c r="E36" s="11"/>
      <c r="F36" s="11"/>
      <c r="G36" s="11"/>
      <c r="H36" s="11"/>
    </row>
    <row r="37" spans="1:8" x14ac:dyDescent="0.3">
      <c r="A37" s="13"/>
      <c r="B37" s="11"/>
      <c r="C37" s="11">
        <v>4</v>
      </c>
      <c r="D37" s="11"/>
      <c r="E37" s="11"/>
      <c r="F37" s="11"/>
      <c r="G37" s="11"/>
      <c r="H37" s="11"/>
    </row>
    <row r="38" spans="1:8" x14ac:dyDescent="0.3">
      <c r="A38" s="13">
        <v>43307</v>
      </c>
      <c r="B38" s="11"/>
      <c r="C38" s="11"/>
      <c r="D38" s="11"/>
      <c r="E38" s="11"/>
      <c r="F38" s="11"/>
      <c r="G38" s="11">
        <v>11.76</v>
      </c>
      <c r="H38" s="11" t="s">
        <v>77</v>
      </c>
    </row>
    <row r="39" spans="1:8" x14ac:dyDescent="0.3">
      <c r="A39" s="13">
        <v>43308</v>
      </c>
      <c r="B39" s="11">
        <v>4.5999999999999996</v>
      </c>
      <c r="C39" s="11"/>
      <c r="D39" s="11"/>
      <c r="E39" s="11"/>
      <c r="F39" s="11"/>
      <c r="G39" s="11"/>
      <c r="H39" s="11"/>
    </row>
    <row r="40" spans="1:8" x14ac:dyDescent="0.3">
      <c r="A40" s="13">
        <v>43309</v>
      </c>
      <c r="B40" s="11"/>
      <c r="C40" s="11">
        <v>23</v>
      </c>
      <c r="D40" s="11"/>
      <c r="E40" s="11"/>
      <c r="F40" s="11"/>
      <c r="G40" s="11"/>
      <c r="H40" s="11"/>
    </row>
    <row r="41" spans="1:8" x14ac:dyDescent="0.3">
      <c r="A41" s="13"/>
      <c r="B41" s="11"/>
      <c r="C41" s="11">
        <v>20</v>
      </c>
      <c r="D41" s="11"/>
      <c r="E41" s="11"/>
      <c r="F41" s="11"/>
      <c r="G41" s="11"/>
      <c r="H41" s="11"/>
    </row>
    <row r="42" spans="1:8" x14ac:dyDescent="0.3">
      <c r="A42" s="13"/>
      <c r="B42" s="11"/>
      <c r="C42" s="11">
        <v>13.45</v>
      </c>
      <c r="D42" s="11"/>
      <c r="E42" s="11"/>
      <c r="F42" s="11"/>
      <c r="G42" s="11"/>
      <c r="H42" s="11"/>
    </row>
    <row r="43" spans="1:8" x14ac:dyDescent="0.3">
      <c r="A43" s="13">
        <v>43310</v>
      </c>
      <c r="B43" s="11"/>
      <c r="C43" s="11"/>
      <c r="D43" s="11"/>
      <c r="E43" s="11"/>
      <c r="F43" s="11"/>
      <c r="G43" s="11"/>
      <c r="H43" s="11"/>
    </row>
    <row r="44" spans="1:8" x14ac:dyDescent="0.3">
      <c r="A44" s="13">
        <v>43311</v>
      </c>
      <c r="B44" s="11"/>
      <c r="C44" s="11">
        <v>24</v>
      </c>
      <c r="D44" s="11"/>
      <c r="E44" s="11"/>
      <c r="F44" s="11"/>
      <c r="G44" s="11"/>
      <c r="H44" s="11"/>
    </row>
    <row r="45" spans="1:8" x14ac:dyDescent="0.3">
      <c r="A45" s="13">
        <v>43312</v>
      </c>
      <c r="B45" s="11">
        <v>2.39</v>
      </c>
      <c r="C45" s="11">
        <v>21</v>
      </c>
      <c r="D45" s="11"/>
      <c r="E45" s="11"/>
      <c r="F45" s="11"/>
      <c r="G45" s="11"/>
      <c r="H45" s="11"/>
    </row>
    <row r="47" spans="1:8" x14ac:dyDescent="0.3">
      <c r="A47" s="11" t="s">
        <v>44</v>
      </c>
      <c r="B47" s="11">
        <v>142.61000000000001</v>
      </c>
      <c r="C47" s="11">
        <v>410.16</v>
      </c>
      <c r="D47" s="11">
        <v>158.41999999999999</v>
      </c>
      <c r="E47" s="12">
        <v>842.51</v>
      </c>
      <c r="F47" s="11"/>
      <c r="G47" s="11">
        <v>402.45</v>
      </c>
      <c r="H47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76C3-F8D4-4DCF-90F2-5EE3B172BBCE}">
  <dimension ref="A1:H43"/>
  <sheetViews>
    <sheetView topLeftCell="A27" workbookViewId="0">
      <selection activeCell="A2" sqref="A2:H43"/>
    </sheetView>
  </sheetViews>
  <sheetFormatPr defaultRowHeight="14.4" x14ac:dyDescent="0.3"/>
  <cols>
    <col min="1" max="1" width="12.21875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9">
        <v>43313</v>
      </c>
      <c r="B2" s="7">
        <v>8.01</v>
      </c>
      <c r="C2" s="7"/>
      <c r="D2" s="7"/>
      <c r="E2" s="7">
        <v>90.96</v>
      </c>
      <c r="F2" s="7" t="s">
        <v>30</v>
      </c>
      <c r="G2" s="7"/>
      <c r="H2" s="7"/>
    </row>
    <row r="3" spans="1:8" x14ac:dyDescent="0.3">
      <c r="A3" s="9"/>
      <c r="B3" s="7">
        <v>1.99</v>
      </c>
      <c r="C3" s="7"/>
      <c r="D3" s="7"/>
      <c r="E3" s="7">
        <v>565</v>
      </c>
      <c r="F3" s="7" t="s">
        <v>20</v>
      </c>
      <c r="G3" s="7"/>
      <c r="H3" s="7"/>
    </row>
    <row r="4" spans="1:8" x14ac:dyDescent="0.3">
      <c r="A4" s="9"/>
      <c r="B4" s="7">
        <v>33.869999999999997</v>
      </c>
      <c r="C4" s="7"/>
      <c r="D4" s="7"/>
      <c r="E4" s="7"/>
      <c r="F4" s="7"/>
      <c r="G4" s="7"/>
      <c r="H4" s="7"/>
    </row>
    <row r="5" spans="1:8" x14ac:dyDescent="0.3">
      <c r="A5" s="9">
        <v>43314</v>
      </c>
      <c r="B5" s="7">
        <v>70.92</v>
      </c>
      <c r="C5" s="7"/>
      <c r="D5" s="7"/>
      <c r="E5" s="7"/>
      <c r="F5" s="7"/>
      <c r="G5" s="7"/>
      <c r="H5" s="7"/>
    </row>
    <row r="6" spans="1:8" x14ac:dyDescent="0.3">
      <c r="A6" s="9">
        <v>43315</v>
      </c>
      <c r="B6" s="7"/>
      <c r="C6" s="7"/>
      <c r="D6" s="7"/>
      <c r="E6" s="7">
        <v>10.24</v>
      </c>
      <c r="F6" s="7" t="s">
        <v>57</v>
      </c>
      <c r="G6" s="7"/>
      <c r="H6" s="7"/>
    </row>
    <row r="7" spans="1:8" x14ac:dyDescent="0.3">
      <c r="A7" s="9">
        <v>43316</v>
      </c>
      <c r="B7" s="7"/>
      <c r="C7" s="7">
        <v>7</v>
      </c>
      <c r="D7" s="7"/>
      <c r="E7" s="7">
        <v>62.03</v>
      </c>
      <c r="F7" s="7" t="s">
        <v>58</v>
      </c>
      <c r="G7" s="7">
        <v>14.98</v>
      </c>
      <c r="H7" s="7" t="s">
        <v>59</v>
      </c>
    </row>
    <row r="8" spans="1:8" x14ac:dyDescent="0.3">
      <c r="A8" s="9">
        <v>43317</v>
      </c>
      <c r="B8" s="7">
        <v>12.98</v>
      </c>
      <c r="C8" s="7">
        <v>29.33</v>
      </c>
      <c r="D8" s="7">
        <v>43.88</v>
      </c>
      <c r="E8" s="7"/>
      <c r="F8" s="7"/>
      <c r="G8" s="7"/>
      <c r="H8" s="7"/>
    </row>
    <row r="9" spans="1:8" x14ac:dyDescent="0.3">
      <c r="A9" s="9"/>
      <c r="B9" s="7"/>
      <c r="C9" s="7">
        <v>5.03</v>
      </c>
      <c r="D9" s="7"/>
      <c r="E9" s="7"/>
      <c r="F9" s="7"/>
      <c r="G9" s="7"/>
      <c r="H9" s="7"/>
    </row>
    <row r="10" spans="1:8" x14ac:dyDescent="0.3">
      <c r="A10" s="9">
        <v>43318</v>
      </c>
      <c r="B10" s="7"/>
      <c r="C10" s="7">
        <v>24.98</v>
      </c>
      <c r="D10" s="7">
        <v>48.83</v>
      </c>
      <c r="E10" s="7"/>
      <c r="F10" s="7"/>
      <c r="G10" s="7"/>
      <c r="H10" s="7"/>
    </row>
    <row r="11" spans="1:8" x14ac:dyDescent="0.3">
      <c r="A11" s="9">
        <v>43319</v>
      </c>
      <c r="B11" s="7"/>
      <c r="C11" s="7"/>
      <c r="D11" s="7"/>
      <c r="E11" s="7"/>
      <c r="F11" s="7"/>
      <c r="G11" s="7"/>
      <c r="H11" s="7"/>
    </row>
    <row r="12" spans="1:8" x14ac:dyDescent="0.3">
      <c r="A12" s="9">
        <v>43320</v>
      </c>
      <c r="B12" s="7">
        <v>6.38</v>
      </c>
      <c r="C12" s="7">
        <v>14.34</v>
      </c>
      <c r="D12" s="7"/>
      <c r="E12" s="7"/>
      <c r="F12" s="7"/>
      <c r="G12" s="7"/>
      <c r="H12" s="7"/>
    </row>
    <row r="13" spans="1:8" x14ac:dyDescent="0.3">
      <c r="A13" s="9">
        <v>43321</v>
      </c>
      <c r="B13" s="7"/>
      <c r="C13" s="7">
        <v>14</v>
      </c>
      <c r="D13" s="7">
        <v>20.53</v>
      </c>
      <c r="E13" s="7"/>
      <c r="F13" s="7"/>
      <c r="G13" s="7"/>
      <c r="H13" s="7"/>
    </row>
    <row r="14" spans="1:8" x14ac:dyDescent="0.3">
      <c r="A14" s="9"/>
      <c r="B14" s="7"/>
      <c r="C14" s="7">
        <v>9</v>
      </c>
      <c r="D14" s="7"/>
      <c r="E14" s="7"/>
      <c r="F14" s="7"/>
      <c r="G14" s="7"/>
      <c r="H14" s="7"/>
    </row>
    <row r="15" spans="1:8" x14ac:dyDescent="0.3">
      <c r="A15" s="9">
        <v>43322</v>
      </c>
      <c r="B15" s="7">
        <v>13.16</v>
      </c>
      <c r="C15" s="7">
        <v>10.5</v>
      </c>
      <c r="D15" s="7"/>
      <c r="E15" s="7"/>
      <c r="F15" s="7"/>
      <c r="G15" s="7"/>
      <c r="H15" s="7"/>
    </row>
    <row r="16" spans="1:8" x14ac:dyDescent="0.3">
      <c r="A16" s="9">
        <v>43323</v>
      </c>
      <c r="B16" s="7">
        <v>13.11</v>
      </c>
      <c r="C16" s="7">
        <v>1.99</v>
      </c>
      <c r="D16" s="7">
        <v>40.5</v>
      </c>
      <c r="E16" s="7"/>
      <c r="F16" s="7"/>
      <c r="G16" s="7">
        <v>13.98</v>
      </c>
      <c r="H16" s="7" t="s">
        <v>60</v>
      </c>
    </row>
    <row r="17" spans="1:8" x14ac:dyDescent="0.3">
      <c r="A17" s="9">
        <v>43324</v>
      </c>
      <c r="B17" s="7"/>
      <c r="C17" s="7">
        <v>21</v>
      </c>
      <c r="D17" s="7"/>
      <c r="E17" s="7"/>
      <c r="F17" s="7"/>
      <c r="G17" s="7"/>
      <c r="H17" s="7"/>
    </row>
    <row r="18" spans="1:8" x14ac:dyDescent="0.3">
      <c r="A18" s="9"/>
      <c r="B18" s="7"/>
      <c r="C18" s="7">
        <v>11</v>
      </c>
      <c r="D18" s="7"/>
      <c r="E18" s="7"/>
      <c r="F18" s="7"/>
      <c r="G18" s="7"/>
      <c r="H18" s="7"/>
    </row>
    <row r="19" spans="1:8" x14ac:dyDescent="0.3">
      <c r="A19" s="9">
        <v>43325</v>
      </c>
      <c r="B19" s="7"/>
      <c r="C19" s="7">
        <v>6.48</v>
      </c>
      <c r="D19" s="7">
        <v>44.87</v>
      </c>
      <c r="E19" s="7"/>
      <c r="F19" s="7"/>
      <c r="G19" s="7">
        <v>7.99</v>
      </c>
      <c r="H19" s="7" t="s">
        <v>61</v>
      </c>
    </row>
    <row r="20" spans="1:8" x14ac:dyDescent="0.3">
      <c r="A20" s="9"/>
      <c r="B20" s="7"/>
      <c r="C20" s="7">
        <v>3.25</v>
      </c>
      <c r="D20" s="7"/>
      <c r="E20" s="7"/>
      <c r="F20" s="7"/>
      <c r="G20" s="7">
        <v>99.66</v>
      </c>
      <c r="H20" s="7" t="s">
        <v>62</v>
      </c>
    </row>
    <row r="21" spans="1:8" x14ac:dyDescent="0.3">
      <c r="A21" s="9"/>
      <c r="B21" s="7"/>
      <c r="C21" s="7">
        <v>19</v>
      </c>
      <c r="D21" s="7"/>
      <c r="E21" s="7"/>
      <c r="F21" s="7"/>
      <c r="G21" s="7"/>
      <c r="H21" s="7"/>
    </row>
    <row r="22" spans="1:8" x14ac:dyDescent="0.3">
      <c r="A22" s="9">
        <v>43326</v>
      </c>
      <c r="B22" s="7"/>
      <c r="C22" s="7">
        <v>10</v>
      </c>
      <c r="D22" s="7"/>
      <c r="E22" s="7"/>
      <c r="F22" s="7"/>
      <c r="G22" s="7">
        <v>40.57</v>
      </c>
      <c r="H22" s="10" t="s">
        <v>63</v>
      </c>
    </row>
    <row r="23" spans="1:8" x14ac:dyDescent="0.3">
      <c r="A23" s="9">
        <v>43327</v>
      </c>
      <c r="B23" s="7">
        <v>20.239999999999998</v>
      </c>
      <c r="C23" s="7">
        <v>14</v>
      </c>
      <c r="D23" s="7"/>
      <c r="E23" s="7"/>
      <c r="F23" s="7"/>
      <c r="G23" s="7">
        <v>4.99</v>
      </c>
      <c r="H23" s="7" t="s">
        <v>64</v>
      </c>
    </row>
    <row r="24" spans="1:8" x14ac:dyDescent="0.3">
      <c r="A24" s="9"/>
      <c r="B24" s="7"/>
      <c r="C24" s="7">
        <v>10.199999999999999</v>
      </c>
      <c r="D24" s="7"/>
      <c r="E24" s="7"/>
      <c r="F24" s="7"/>
      <c r="G24" s="7">
        <v>2</v>
      </c>
      <c r="H24" s="7" t="s">
        <v>65</v>
      </c>
    </row>
    <row r="25" spans="1:8" x14ac:dyDescent="0.3">
      <c r="A25" s="9">
        <v>43328</v>
      </c>
      <c r="B25" s="7"/>
      <c r="C25" s="7">
        <v>6</v>
      </c>
      <c r="D25" s="7"/>
      <c r="E25" s="7">
        <v>44.99</v>
      </c>
      <c r="F25" s="7" t="s">
        <v>27</v>
      </c>
      <c r="G25" s="7">
        <v>16.940000000000001</v>
      </c>
      <c r="H25" s="7" t="s">
        <v>66</v>
      </c>
    </row>
    <row r="26" spans="1:8" x14ac:dyDescent="0.3">
      <c r="A26" s="9">
        <v>43329</v>
      </c>
      <c r="B26" s="7"/>
      <c r="C26" s="7">
        <v>3.98</v>
      </c>
      <c r="D26" s="7"/>
      <c r="E26" s="7">
        <v>53.38</v>
      </c>
      <c r="F26" s="7" t="s">
        <v>67</v>
      </c>
      <c r="G26" s="7"/>
      <c r="H26" s="7"/>
    </row>
    <row r="27" spans="1:8" x14ac:dyDescent="0.3">
      <c r="A27" s="9">
        <v>43330</v>
      </c>
      <c r="B27" s="7"/>
      <c r="C27" s="7"/>
      <c r="D27" s="7"/>
      <c r="E27" s="7"/>
      <c r="F27" s="7"/>
      <c r="G27" s="7"/>
      <c r="H27" s="7"/>
    </row>
    <row r="28" spans="1:8" x14ac:dyDescent="0.3">
      <c r="A28" s="9">
        <v>43331</v>
      </c>
      <c r="B28" s="7"/>
      <c r="C28" s="7"/>
      <c r="D28" s="7"/>
      <c r="E28" s="7"/>
      <c r="F28" s="7"/>
      <c r="G28" s="7"/>
      <c r="H28" s="7"/>
    </row>
    <row r="29" spans="1:8" x14ac:dyDescent="0.3">
      <c r="A29" s="9">
        <v>43332</v>
      </c>
      <c r="B29" s="7">
        <v>25.16</v>
      </c>
      <c r="C29" s="7">
        <v>3.25</v>
      </c>
      <c r="D29" s="7"/>
      <c r="E29" s="7"/>
      <c r="F29" s="7"/>
      <c r="G29" s="7"/>
      <c r="H29" s="7"/>
    </row>
    <row r="30" spans="1:8" x14ac:dyDescent="0.3">
      <c r="A30" s="9">
        <v>43333</v>
      </c>
      <c r="B30" s="7"/>
      <c r="C30" s="7"/>
      <c r="D30" s="7"/>
      <c r="E30" s="7"/>
      <c r="F30" s="7"/>
      <c r="G30" s="7"/>
      <c r="H30" s="7"/>
    </row>
    <row r="31" spans="1:8" x14ac:dyDescent="0.3">
      <c r="A31" s="9">
        <v>43334</v>
      </c>
      <c r="B31" s="7"/>
      <c r="C31" s="7"/>
      <c r="D31" s="7"/>
      <c r="E31" s="7"/>
      <c r="F31" s="7"/>
      <c r="G31" s="7"/>
      <c r="H31" s="7"/>
    </row>
    <row r="32" spans="1:8" x14ac:dyDescent="0.3">
      <c r="A32" s="9">
        <v>43335</v>
      </c>
      <c r="B32" s="7"/>
      <c r="C32" s="7">
        <v>11</v>
      </c>
      <c r="D32" s="7"/>
      <c r="E32" s="7"/>
      <c r="F32" s="7"/>
      <c r="G32" s="7"/>
      <c r="H32" s="7"/>
    </row>
    <row r="33" spans="1:8" x14ac:dyDescent="0.3">
      <c r="A33" s="9">
        <v>43336</v>
      </c>
      <c r="B33" s="7"/>
      <c r="C33" s="7">
        <v>5.99</v>
      </c>
      <c r="D33" s="7"/>
      <c r="E33" s="7"/>
      <c r="F33" s="7"/>
      <c r="G33" s="7"/>
      <c r="H33" s="7"/>
    </row>
    <row r="34" spans="1:8" x14ac:dyDescent="0.3">
      <c r="A34" s="9">
        <v>43337</v>
      </c>
      <c r="B34" s="7"/>
      <c r="C34" s="7">
        <v>10.64</v>
      </c>
      <c r="D34" s="7"/>
      <c r="E34" s="7"/>
      <c r="F34" s="7"/>
      <c r="G34" s="7"/>
      <c r="H34" s="7"/>
    </row>
    <row r="35" spans="1:8" x14ac:dyDescent="0.3">
      <c r="A35" s="9"/>
      <c r="B35" s="7"/>
      <c r="C35" s="7">
        <v>4</v>
      </c>
      <c r="D35" s="7"/>
      <c r="E35" s="7"/>
      <c r="F35" s="7"/>
      <c r="G35" s="7"/>
      <c r="H35" s="7"/>
    </row>
    <row r="36" spans="1:8" x14ac:dyDescent="0.3">
      <c r="A36" s="9">
        <v>43338</v>
      </c>
      <c r="B36" s="7"/>
      <c r="C36" s="7"/>
      <c r="D36" s="7"/>
      <c r="E36" s="7">
        <v>14.99</v>
      </c>
      <c r="F36" s="7" t="s">
        <v>32</v>
      </c>
      <c r="G36" s="7"/>
      <c r="H36" s="7"/>
    </row>
    <row r="37" spans="1:8" x14ac:dyDescent="0.3">
      <c r="A37" s="9">
        <v>43339</v>
      </c>
      <c r="B37" s="7"/>
      <c r="C37" s="7">
        <v>8</v>
      </c>
      <c r="D37" s="7"/>
      <c r="E37" s="7"/>
      <c r="F37" s="7"/>
      <c r="G37" s="7"/>
      <c r="H37" s="7"/>
    </row>
    <row r="38" spans="1:8" x14ac:dyDescent="0.3">
      <c r="A38" s="9">
        <v>43340</v>
      </c>
      <c r="B38" s="7"/>
      <c r="C38" s="7">
        <v>3</v>
      </c>
      <c r="D38" s="7"/>
      <c r="E38" s="7"/>
      <c r="F38" s="7"/>
      <c r="G38" s="7"/>
      <c r="H38" s="7"/>
    </row>
    <row r="39" spans="1:8" x14ac:dyDescent="0.3">
      <c r="A39" s="9">
        <v>43341</v>
      </c>
      <c r="B39" s="7"/>
      <c r="C39" s="7"/>
      <c r="D39" s="7"/>
      <c r="E39" s="7"/>
      <c r="F39" s="7"/>
      <c r="G39" s="7"/>
      <c r="H39" s="7"/>
    </row>
    <row r="40" spans="1:8" x14ac:dyDescent="0.3">
      <c r="A40" s="9">
        <v>43342</v>
      </c>
      <c r="B40" s="7"/>
      <c r="C40" s="7"/>
      <c r="D40" s="7"/>
      <c r="E40" s="7"/>
      <c r="F40" s="7"/>
      <c r="G40" s="7"/>
      <c r="H40" s="7"/>
    </row>
    <row r="41" spans="1:8" x14ac:dyDescent="0.3">
      <c r="A41" s="9">
        <v>43343</v>
      </c>
      <c r="B41" s="7">
        <v>0.7</v>
      </c>
      <c r="C41" s="7"/>
      <c r="D41" s="7"/>
      <c r="E41" s="7"/>
      <c r="F41" s="7"/>
      <c r="G41" s="7">
        <v>20</v>
      </c>
      <c r="H41" s="7" t="s">
        <v>68</v>
      </c>
    </row>
    <row r="43" spans="1:8" x14ac:dyDescent="0.3">
      <c r="A43" s="7" t="s">
        <v>44</v>
      </c>
      <c r="B43" s="7">
        <v>206.52</v>
      </c>
      <c r="C43" s="7">
        <v>266.95999999999998</v>
      </c>
      <c r="D43" s="7">
        <v>198.61</v>
      </c>
      <c r="E43" s="8">
        <v>841.59</v>
      </c>
      <c r="F43" s="7"/>
      <c r="G43" s="7">
        <v>221.11</v>
      </c>
      <c r="H43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FF22-2DF4-4619-8161-5B33B51E226E}">
  <dimension ref="A1:H45"/>
  <sheetViews>
    <sheetView topLeftCell="A41" workbookViewId="0">
      <selection activeCell="G19" sqref="G19"/>
    </sheetView>
  </sheetViews>
  <sheetFormatPr defaultRowHeight="14.4" x14ac:dyDescent="0.3"/>
  <cols>
    <col min="1" max="1" width="9.88671875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6">
        <v>43344</v>
      </c>
      <c r="B2" s="4"/>
      <c r="C2" s="4">
        <v>15.54</v>
      </c>
      <c r="D2" s="4"/>
      <c r="E2" s="4">
        <v>565</v>
      </c>
      <c r="F2" s="4" t="s">
        <v>34</v>
      </c>
      <c r="G2" s="4">
        <v>162.5</v>
      </c>
      <c r="H2" s="4" t="s">
        <v>45</v>
      </c>
    </row>
    <row r="3" spans="1:8" x14ac:dyDescent="0.3">
      <c r="A3" s="6">
        <v>43345</v>
      </c>
      <c r="B3" s="4"/>
      <c r="C3" s="4"/>
      <c r="D3" s="4"/>
      <c r="E3" s="4"/>
      <c r="F3" s="4"/>
      <c r="G3" s="4"/>
      <c r="H3" s="4"/>
    </row>
    <row r="4" spans="1:8" x14ac:dyDescent="0.3">
      <c r="A4" s="6">
        <v>43346</v>
      </c>
      <c r="B4" s="4"/>
      <c r="C4" s="4">
        <v>20</v>
      </c>
      <c r="D4" s="4"/>
      <c r="E4" s="4"/>
      <c r="F4" s="4"/>
      <c r="G4" s="4"/>
      <c r="H4" s="4"/>
    </row>
    <row r="5" spans="1:8" x14ac:dyDescent="0.3">
      <c r="A5" s="6">
        <v>43347</v>
      </c>
      <c r="B5" s="4">
        <v>15.89</v>
      </c>
      <c r="C5" s="4">
        <v>14</v>
      </c>
      <c r="D5" s="4"/>
      <c r="E5" s="4"/>
      <c r="F5" s="4"/>
      <c r="G5" s="4"/>
      <c r="H5" s="4"/>
    </row>
    <row r="6" spans="1:8" x14ac:dyDescent="0.3">
      <c r="A6" s="6"/>
      <c r="B6" s="4"/>
      <c r="C6" s="4">
        <v>15.25</v>
      </c>
      <c r="D6" s="4"/>
      <c r="E6" s="4"/>
      <c r="F6" s="4"/>
      <c r="G6" s="4"/>
      <c r="H6" s="4"/>
    </row>
    <row r="7" spans="1:8" x14ac:dyDescent="0.3">
      <c r="A7" s="6">
        <v>43348</v>
      </c>
      <c r="B7" s="4"/>
      <c r="C7" s="4">
        <v>14.5</v>
      </c>
      <c r="D7" s="4"/>
      <c r="E7" s="4"/>
      <c r="F7" s="4"/>
      <c r="G7" s="4"/>
      <c r="H7" s="4"/>
    </row>
    <row r="8" spans="1:8" x14ac:dyDescent="0.3">
      <c r="A8" s="6"/>
      <c r="B8" s="4"/>
      <c r="C8" s="4">
        <v>4</v>
      </c>
      <c r="D8" s="4"/>
      <c r="E8" s="4"/>
      <c r="F8" s="4"/>
      <c r="G8" s="4"/>
      <c r="H8" s="4"/>
    </row>
    <row r="9" spans="1:8" x14ac:dyDescent="0.3">
      <c r="A9" s="6">
        <v>43349</v>
      </c>
      <c r="B9" s="4"/>
      <c r="C9" s="4"/>
      <c r="D9" s="4"/>
      <c r="E9" s="4">
        <v>90.96</v>
      </c>
      <c r="F9" s="4" t="s">
        <v>46</v>
      </c>
      <c r="G9" s="4"/>
      <c r="H9" s="4"/>
    </row>
    <row r="10" spans="1:8" x14ac:dyDescent="0.3">
      <c r="A10" s="6">
        <v>43350</v>
      </c>
      <c r="B10" s="4"/>
      <c r="C10" s="4"/>
      <c r="D10" s="4"/>
      <c r="E10" s="4"/>
      <c r="F10" s="4"/>
      <c r="G10" s="4">
        <v>4</v>
      </c>
      <c r="H10" s="4" t="s">
        <v>47</v>
      </c>
    </row>
    <row r="11" spans="1:8" x14ac:dyDescent="0.3">
      <c r="A11" s="6">
        <v>43351</v>
      </c>
      <c r="B11" s="4"/>
      <c r="C11" s="4">
        <v>18</v>
      </c>
      <c r="D11" s="4"/>
      <c r="E11" s="4"/>
      <c r="F11" s="4"/>
      <c r="G11" s="4"/>
      <c r="H11" s="4"/>
    </row>
    <row r="12" spans="1:8" x14ac:dyDescent="0.3">
      <c r="A12" s="6"/>
      <c r="B12" s="4"/>
      <c r="C12" s="4">
        <v>10</v>
      </c>
      <c r="D12" s="4"/>
      <c r="E12" s="4"/>
      <c r="F12" s="4"/>
      <c r="G12" s="4"/>
      <c r="H12" s="4"/>
    </row>
    <row r="13" spans="1:8" x14ac:dyDescent="0.3">
      <c r="A13" s="6"/>
      <c r="B13" s="4"/>
      <c r="C13" s="4">
        <v>6</v>
      </c>
      <c r="D13" s="4"/>
      <c r="E13" s="4"/>
      <c r="F13" s="4"/>
      <c r="G13" s="4"/>
      <c r="H13" s="4"/>
    </row>
    <row r="14" spans="1:8" x14ac:dyDescent="0.3">
      <c r="A14" s="6">
        <v>43352</v>
      </c>
      <c r="B14" s="4"/>
      <c r="C14" s="4"/>
      <c r="D14" s="4"/>
      <c r="E14" s="4"/>
      <c r="F14" s="4"/>
      <c r="G14" s="4"/>
      <c r="H14" s="4"/>
    </row>
    <row r="15" spans="1:8" x14ac:dyDescent="0.3">
      <c r="A15" s="6">
        <v>43353</v>
      </c>
      <c r="B15" s="4"/>
      <c r="C15" s="4">
        <v>19</v>
      </c>
      <c r="D15" s="4"/>
      <c r="E15" s="4">
        <v>63</v>
      </c>
      <c r="F15" s="4" t="s">
        <v>48</v>
      </c>
      <c r="G15" s="4">
        <v>10</v>
      </c>
      <c r="H15" s="4" t="s">
        <v>49</v>
      </c>
    </row>
    <row r="16" spans="1:8" x14ac:dyDescent="0.3">
      <c r="A16" s="6"/>
      <c r="B16" s="4"/>
      <c r="C16" s="4">
        <v>6.75</v>
      </c>
      <c r="D16" s="4"/>
      <c r="E16" s="4"/>
      <c r="F16" s="4"/>
      <c r="G16" s="4">
        <v>102</v>
      </c>
      <c r="H16" s="4" t="s">
        <v>50</v>
      </c>
    </row>
    <row r="17" spans="1:8" x14ac:dyDescent="0.3">
      <c r="A17" s="6">
        <v>43354</v>
      </c>
      <c r="B17" s="4"/>
      <c r="C17" s="4">
        <v>10</v>
      </c>
      <c r="D17" s="4"/>
      <c r="E17" s="4"/>
      <c r="F17" s="4"/>
      <c r="G17" s="4"/>
      <c r="H17" s="4"/>
    </row>
    <row r="18" spans="1:8" x14ac:dyDescent="0.3">
      <c r="A18" s="6">
        <v>43355</v>
      </c>
      <c r="B18" s="4"/>
      <c r="C18" s="4"/>
      <c r="D18" s="4"/>
      <c r="E18" s="4"/>
      <c r="F18" s="4"/>
      <c r="G18" s="4"/>
      <c r="H18" s="4"/>
    </row>
    <row r="19" spans="1:8" x14ac:dyDescent="0.3">
      <c r="A19" s="6">
        <v>43356</v>
      </c>
      <c r="B19" s="4"/>
      <c r="C19" s="4">
        <v>14.5</v>
      </c>
      <c r="D19" s="4"/>
      <c r="E19" s="4"/>
      <c r="F19" s="4"/>
      <c r="G19" s="4">
        <v>260</v>
      </c>
      <c r="H19" s="4" t="s">
        <v>51</v>
      </c>
    </row>
    <row r="20" spans="1:8" x14ac:dyDescent="0.3">
      <c r="A20" s="6">
        <v>43357</v>
      </c>
      <c r="B20" s="4"/>
      <c r="C20" s="4">
        <v>13</v>
      </c>
      <c r="D20" s="4"/>
      <c r="E20" s="4"/>
      <c r="F20" s="4"/>
      <c r="G20" s="4">
        <v>25.12</v>
      </c>
      <c r="H20" s="4" t="s">
        <v>52</v>
      </c>
    </row>
    <row r="21" spans="1:8" x14ac:dyDescent="0.3">
      <c r="A21" s="6">
        <v>43358</v>
      </c>
      <c r="B21" s="4"/>
      <c r="C21" s="4"/>
      <c r="D21" s="4"/>
      <c r="E21" s="4"/>
      <c r="F21" s="4"/>
      <c r="G21" s="4">
        <v>7.5</v>
      </c>
      <c r="H21" s="4" t="s">
        <v>53</v>
      </c>
    </row>
    <row r="22" spans="1:8" x14ac:dyDescent="0.3">
      <c r="A22" s="6"/>
      <c r="B22" s="4"/>
      <c r="C22" s="4"/>
      <c r="D22" s="4"/>
      <c r="E22" s="4"/>
      <c r="F22" s="4"/>
      <c r="G22" s="4">
        <v>20.96</v>
      </c>
      <c r="H22" s="4" t="s">
        <v>54</v>
      </c>
    </row>
    <row r="23" spans="1:8" x14ac:dyDescent="0.3">
      <c r="A23" s="6">
        <v>43359</v>
      </c>
      <c r="B23" s="4"/>
      <c r="C23" s="4"/>
      <c r="D23" s="4"/>
      <c r="E23" s="4"/>
      <c r="F23" s="4"/>
      <c r="G23" s="4">
        <v>3</v>
      </c>
      <c r="H23" s="4" t="s">
        <v>53</v>
      </c>
    </row>
    <row r="24" spans="1:8" x14ac:dyDescent="0.3">
      <c r="A24" s="6">
        <v>43360</v>
      </c>
      <c r="B24" s="4"/>
      <c r="C24" s="4"/>
      <c r="D24" s="4"/>
      <c r="E24" s="4">
        <v>59.99</v>
      </c>
      <c r="F24" s="4" t="s">
        <v>55</v>
      </c>
      <c r="G24" s="4">
        <v>25</v>
      </c>
      <c r="H24" s="4" t="s">
        <v>56</v>
      </c>
    </row>
    <row r="25" spans="1:8" x14ac:dyDescent="0.3">
      <c r="A25" s="6">
        <v>43361</v>
      </c>
      <c r="B25" s="4"/>
      <c r="C25" s="4"/>
      <c r="D25" s="4"/>
      <c r="E25" s="4">
        <v>53.38</v>
      </c>
      <c r="F25" s="4" t="s">
        <v>39</v>
      </c>
      <c r="G25" s="4"/>
      <c r="H25" s="4"/>
    </row>
    <row r="26" spans="1:8" x14ac:dyDescent="0.3">
      <c r="A26" s="6">
        <v>43362</v>
      </c>
      <c r="B26" s="4">
        <v>8.1199999999999992</v>
      </c>
      <c r="C26" s="4">
        <v>19.739999999999998</v>
      </c>
      <c r="D26" s="4"/>
      <c r="E26" s="4"/>
      <c r="F26" s="4"/>
      <c r="G26" s="4"/>
      <c r="H26" s="4"/>
    </row>
    <row r="27" spans="1:8" x14ac:dyDescent="0.3">
      <c r="A27" s="6">
        <v>43363</v>
      </c>
      <c r="B27" s="4"/>
      <c r="C27" s="4">
        <v>3</v>
      </c>
      <c r="D27" s="4"/>
      <c r="E27" s="4"/>
      <c r="F27" s="4"/>
      <c r="G27" s="4"/>
      <c r="H27" s="4"/>
    </row>
    <row r="28" spans="1:8" x14ac:dyDescent="0.3">
      <c r="A28" s="6">
        <v>43364</v>
      </c>
      <c r="B28" s="4"/>
      <c r="C28" s="4">
        <v>10.95</v>
      </c>
      <c r="D28" s="4"/>
      <c r="E28" s="4"/>
      <c r="F28" s="4"/>
      <c r="G28" s="4">
        <v>4</v>
      </c>
      <c r="H28" s="4" t="s">
        <v>47</v>
      </c>
    </row>
    <row r="29" spans="1:8" x14ac:dyDescent="0.3">
      <c r="A29" s="6">
        <v>43365</v>
      </c>
      <c r="B29" s="4"/>
      <c r="C29" s="4">
        <v>8.49</v>
      </c>
      <c r="D29" s="4"/>
      <c r="E29" s="4"/>
      <c r="F29" s="4"/>
      <c r="G29" s="4"/>
      <c r="H29" s="4"/>
    </row>
    <row r="30" spans="1:8" x14ac:dyDescent="0.3">
      <c r="A30" s="6">
        <v>43366</v>
      </c>
      <c r="B30" s="4"/>
      <c r="C30" s="4"/>
      <c r="D30" s="4"/>
      <c r="E30" s="4"/>
      <c r="F30" s="4"/>
      <c r="G30" s="4"/>
      <c r="H30" s="4"/>
    </row>
    <row r="31" spans="1:8" x14ac:dyDescent="0.3">
      <c r="A31" s="6">
        <v>43367</v>
      </c>
      <c r="B31" s="4"/>
      <c r="C31" s="4">
        <v>14</v>
      </c>
      <c r="D31" s="4"/>
      <c r="E31" s="4"/>
      <c r="F31" s="4"/>
      <c r="G31" s="4"/>
      <c r="H31" s="4"/>
    </row>
    <row r="32" spans="1:8" x14ac:dyDescent="0.3">
      <c r="A32" s="6"/>
      <c r="B32" s="4"/>
      <c r="C32" s="4">
        <v>13.14</v>
      </c>
      <c r="D32" s="4"/>
      <c r="E32" s="4"/>
      <c r="F32" s="4"/>
      <c r="G32" s="4"/>
      <c r="H32" s="4"/>
    </row>
    <row r="33" spans="1:7" x14ac:dyDescent="0.3">
      <c r="A33" s="6">
        <v>43368</v>
      </c>
      <c r="B33" s="4"/>
      <c r="C33" s="4"/>
      <c r="D33" s="4"/>
      <c r="E33" s="4"/>
      <c r="F33" s="4"/>
      <c r="G33" s="4"/>
    </row>
    <row r="34" spans="1:7" x14ac:dyDescent="0.3">
      <c r="A34" s="6">
        <v>43369</v>
      </c>
      <c r="B34" s="4"/>
      <c r="C34" s="4">
        <v>9.9</v>
      </c>
      <c r="D34" s="4"/>
      <c r="E34" s="4"/>
      <c r="F34" s="4"/>
      <c r="G34" s="4"/>
    </row>
    <row r="35" spans="1:7" x14ac:dyDescent="0.3">
      <c r="A35" s="6">
        <v>43370</v>
      </c>
      <c r="B35" s="4"/>
      <c r="C35" s="4">
        <v>14</v>
      </c>
      <c r="D35" s="4"/>
      <c r="E35" s="4"/>
      <c r="F35" s="4"/>
      <c r="G35" s="4"/>
    </row>
    <row r="36" spans="1:7" x14ac:dyDescent="0.3">
      <c r="A36" s="6">
        <v>43371</v>
      </c>
      <c r="B36" s="4">
        <v>13.2</v>
      </c>
      <c r="C36" s="4">
        <v>2.85</v>
      </c>
      <c r="D36" s="4"/>
      <c r="E36" s="4"/>
      <c r="F36" s="4"/>
      <c r="G36" s="4"/>
    </row>
    <row r="37" spans="1:7" x14ac:dyDescent="0.3">
      <c r="A37" s="6"/>
      <c r="B37" s="4">
        <v>9.57</v>
      </c>
      <c r="C37" s="4"/>
      <c r="D37" s="4"/>
      <c r="E37" s="4"/>
      <c r="F37" s="4"/>
      <c r="G37" s="4"/>
    </row>
    <row r="38" spans="1:7" x14ac:dyDescent="0.3">
      <c r="A38" s="6">
        <v>43372</v>
      </c>
      <c r="B38" s="4"/>
      <c r="C38" s="4">
        <v>12.5</v>
      </c>
      <c r="D38" s="4"/>
      <c r="E38" s="4"/>
      <c r="F38" s="4"/>
      <c r="G38" s="4"/>
    </row>
    <row r="39" spans="1:7" x14ac:dyDescent="0.3">
      <c r="A39" s="6"/>
      <c r="B39" s="4"/>
      <c r="C39" s="4">
        <v>18</v>
      </c>
      <c r="D39" s="4"/>
      <c r="E39" s="4"/>
      <c r="F39" s="4"/>
      <c r="G39" s="4"/>
    </row>
    <row r="40" spans="1:7" x14ac:dyDescent="0.3">
      <c r="A40" s="6">
        <v>43373</v>
      </c>
      <c r="B40" s="4"/>
      <c r="C40" s="4">
        <v>5.43</v>
      </c>
      <c r="D40" s="4">
        <v>46.96</v>
      </c>
      <c r="E40" s="4"/>
      <c r="F40" s="4"/>
      <c r="G40" s="4"/>
    </row>
    <row r="41" spans="1:7" x14ac:dyDescent="0.3">
      <c r="A41" s="6"/>
      <c r="B41" s="4"/>
      <c r="C41" s="4">
        <v>6.95</v>
      </c>
      <c r="D41" s="4"/>
      <c r="E41" s="4"/>
      <c r="F41" s="4"/>
      <c r="G41" s="4"/>
    </row>
    <row r="42" spans="1:7" x14ac:dyDescent="0.3">
      <c r="A42" s="6"/>
      <c r="B42" s="4"/>
      <c r="C42" s="4">
        <v>21</v>
      </c>
      <c r="D42" s="4"/>
      <c r="E42" s="4"/>
      <c r="F42" s="4"/>
      <c r="G42" s="4"/>
    </row>
    <row r="43" spans="1:7" x14ac:dyDescent="0.3">
      <c r="A43" s="6"/>
      <c r="B43" s="4"/>
      <c r="C43" s="4"/>
      <c r="D43" s="4"/>
      <c r="E43" s="4"/>
      <c r="F43" s="4"/>
      <c r="G43" s="4"/>
    </row>
    <row r="45" spans="1:7" x14ac:dyDescent="0.3">
      <c r="A45" s="4" t="s">
        <v>44</v>
      </c>
      <c r="B45" s="4">
        <v>46.78</v>
      </c>
      <c r="C45" s="4">
        <v>340.49</v>
      </c>
      <c r="D45" s="4">
        <v>46.96</v>
      </c>
      <c r="E45" s="5">
        <v>832.33</v>
      </c>
      <c r="F45" s="4"/>
      <c r="G45" s="4">
        <v>624.08000000000004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8239-E7F0-4773-AF8E-C4BF37274C68}">
  <dimension ref="A1:H42"/>
  <sheetViews>
    <sheetView topLeftCell="A25" workbookViewId="0">
      <selection activeCell="D11" sqref="D11"/>
    </sheetView>
  </sheetViews>
  <sheetFormatPr defaultRowHeight="14.4" x14ac:dyDescent="0.3"/>
  <cols>
    <col min="1" max="1" width="11.21875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2">
        <v>43374</v>
      </c>
      <c r="B2">
        <v>3.85</v>
      </c>
      <c r="C2">
        <v>21.6</v>
      </c>
    </row>
    <row r="3" spans="1:8" x14ac:dyDescent="0.3">
      <c r="A3" s="2"/>
      <c r="C3">
        <v>8.9499999999999993</v>
      </c>
    </row>
    <row r="4" spans="1:8" x14ac:dyDescent="0.3">
      <c r="A4" s="2">
        <v>43375</v>
      </c>
      <c r="E4">
        <v>565</v>
      </c>
      <c r="F4" t="s">
        <v>34</v>
      </c>
    </row>
    <row r="5" spans="1:8" x14ac:dyDescent="0.3">
      <c r="A5" s="2">
        <v>43376</v>
      </c>
      <c r="C5">
        <v>12.54</v>
      </c>
      <c r="E5">
        <v>14.99</v>
      </c>
      <c r="F5" t="s">
        <v>32</v>
      </c>
    </row>
    <row r="6" spans="1:8" x14ac:dyDescent="0.3">
      <c r="A6" s="2">
        <v>43377</v>
      </c>
      <c r="C6">
        <v>14.97</v>
      </c>
      <c r="G6">
        <v>8.3800000000000008</v>
      </c>
      <c r="H6" t="s">
        <v>35</v>
      </c>
    </row>
    <row r="7" spans="1:8" x14ac:dyDescent="0.3">
      <c r="A7" s="2">
        <v>43378</v>
      </c>
      <c r="C7">
        <v>4</v>
      </c>
      <c r="D7">
        <v>1</v>
      </c>
      <c r="G7">
        <v>1.5</v>
      </c>
      <c r="H7" t="s">
        <v>36</v>
      </c>
    </row>
    <row r="8" spans="1:8" x14ac:dyDescent="0.3">
      <c r="A8" s="2"/>
      <c r="D8">
        <v>3</v>
      </c>
    </row>
    <row r="9" spans="1:8" x14ac:dyDescent="0.3">
      <c r="A9" s="2">
        <v>43379</v>
      </c>
    </row>
    <row r="10" spans="1:8" x14ac:dyDescent="0.3">
      <c r="A10" s="2">
        <v>43380</v>
      </c>
    </row>
    <row r="11" spans="1:8" x14ac:dyDescent="0.3">
      <c r="A11" s="2">
        <v>43381</v>
      </c>
    </row>
    <row r="12" spans="1:8" x14ac:dyDescent="0.3">
      <c r="A12" s="2">
        <v>43382</v>
      </c>
    </row>
    <row r="13" spans="1:8" x14ac:dyDescent="0.3">
      <c r="A13" s="2">
        <v>43383</v>
      </c>
      <c r="C13">
        <v>8.32</v>
      </c>
      <c r="G13">
        <v>36</v>
      </c>
      <c r="H13" t="s">
        <v>37</v>
      </c>
    </row>
    <row r="14" spans="1:8" x14ac:dyDescent="0.3">
      <c r="A14" s="2"/>
      <c r="C14">
        <v>10</v>
      </c>
    </row>
    <row r="15" spans="1:8" x14ac:dyDescent="0.3">
      <c r="A15" s="2">
        <v>43384</v>
      </c>
      <c r="C15">
        <v>17.34</v>
      </c>
    </row>
    <row r="16" spans="1:8" x14ac:dyDescent="0.3">
      <c r="A16" s="2"/>
      <c r="C16">
        <v>20</v>
      </c>
    </row>
    <row r="17" spans="1:8" x14ac:dyDescent="0.3">
      <c r="A17" s="2">
        <v>43385</v>
      </c>
    </row>
    <row r="18" spans="1:8" x14ac:dyDescent="0.3">
      <c r="A18" s="2">
        <v>43386</v>
      </c>
    </row>
    <row r="19" spans="1:8" x14ac:dyDescent="0.3">
      <c r="A19" s="2">
        <v>43387</v>
      </c>
    </row>
    <row r="20" spans="1:8" x14ac:dyDescent="0.3">
      <c r="A20" s="2">
        <v>43388</v>
      </c>
      <c r="C20">
        <v>10.95</v>
      </c>
    </row>
    <row r="21" spans="1:8" x14ac:dyDescent="0.3">
      <c r="A21" s="2"/>
      <c r="C21">
        <v>15.98</v>
      </c>
    </row>
    <row r="22" spans="1:8" x14ac:dyDescent="0.3">
      <c r="A22" s="2">
        <v>43389</v>
      </c>
      <c r="E22">
        <v>59.99</v>
      </c>
      <c r="F22" t="s">
        <v>27</v>
      </c>
    </row>
    <row r="23" spans="1:8" x14ac:dyDescent="0.3">
      <c r="A23" s="2">
        <v>43390</v>
      </c>
      <c r="C23">
        <v>6</v>
      </c>
      <c r="G23">
        <v>18</v>
      </c>
      <c r="H23" t="s">
        <v>38</v>
      </c>
    </row>
    <row r="24" spans="1:8" x14ac:dyDescent="0.3">
      <c r="A24" s="2">
        <v>43391</v>
      </c>
      <c r="C24">
        <v>15.54</v>
      </c>
      <c r="E24">
        <v>53.38</v>
      </c>
      <c r="F24" t="s">
        <v>39</v>
      </c>
    </row>
    <row r="25" spans="1:8" x14ac:dyDescent="0.3">
      <c r="A25" s="2"/>
      <c r="C25">
        <v>11</v>
      </c>
    </row>
    <row r="26" spans="1:8" x14ac:dyDescent="0.3">
      <c r="A26" s="2">
        <v>43392</v>
      </c>
      <c r="B26">
        <v>4.99</v>
      </c>
    </row>
    <row r="27" spans="1:8" x14ac:dyDescent="0.3">
      <c r="A27" s="2">
        <v>43393</v>
      </c>
      <c r="C27">
        <v>10</v>
      </c>
    </row>
    <row r="28" spans="1:8" x14ac:dyDescent="0.3">
      <c r="A28" s="2">
        <v>43394</v>
      </c>
    </row>
    <row r="29" spans="1:8" x14ac:dyDescent="0.3">
      <c r="A29" s="2">
        <v>43395</v>
      </c>
      <c r="B29">
        <v>22.73</v>
      </c>
      <c r="C29">
        <v>14.1</v>
      </c>
      <c r="D29">
        <v>18.55</v>
      </c>
    </row>
    <row r="30" spans="1:8" x14ac:dyDescent="0.3">
      <c r="A30" s="2">
        <v>43396</v>
      </c>
      <c r="C30">
        <v>6</v>
      </c>
    </row>
    <row r="31" spans="1:8" x14ac:dyDescent="0.3">
      <c r="A31" s="2"/>
      <c r="C31">
        <v>4</v>
      </c>
    </row>
    <row r="32" spans="1:8" x14ac:dyDescent="0.3">
      <c r="A32" s="2">
        <v>43397</v>
      </c>
      <c r="B32">
        <v>6.98</v>
      </c>
      <c r="C32">
        <v>12.95</v>
      </c>
      <c r="E32">
        <v>14.99</v>
      </c>
      <c r="F32" t="s">
        <v>40</v>
      </c>
    </row>
    <row r="33" spans="1:8" x14ac:dyDescent="0.3">
      <c r="A33" s="2"/>
      <c r="B33">
        <v>5.49</v>
      </c>
    </row>
    <row r="34" spans="1:8" x14ac:dyDescent="0.3">
      <c r="A34" s="2">
        <v>43398</v>
      </c>
      <c r="B34">
        <f>5.49+6.98</f>
        <v>12.47</v>
      </c>
      <c r="C34">
        <f>6+15.54</f>
        <v>21.54</v>
      </c>
    </row>
    <row r="35" spans="1:8" x14ac:dyDescent="0.3">
      <c r="A35" s="2">
        <v>43399</v>
      </c>
    </row>
    <row r="36" spans="1:8" x14ac:dyDescent="0.3">
      <c r="A36" s="2">
        <v>43400</v>
      </c>
      <c r="C36">
        <f>14.94+9</f>
        <v>23.939999999999998</v>
      </c>
      <c r="G36">
        <v>799</v>
      </c>
      <c r="H36" t="s">
        <v>41</v>
      </c>
    </row>
    <row r="37" spans="1:8" x14ac:dyDescent="0.3">
      <c r="A37" s="2">
        <v>43401</v>
      </c>
      <c r="E37">
        <v>178</v>
      </c>
      <c r="F37" t="s">
        <v>42</v>
      </c>
      <c r="G37">
        <v>150</v>
      </c>
      <c r="H37" t="s">
        <v>43</v>
      </c>
    </row>
    <row r="38" spans="1:8" x14ac:dyDescent="0.3">
      <c r="A38" s="2">
        <v>43402</v>
      </c>
      <c r="C38">
        <f>13+27.5+5.5</f>
        <v>46</v>
      </c>
    </row>
    <row r="39" spans="1:8" x14ac:dyDescent="0.3">
      <c r="A39" s="2">
        <v>43403</v>
      </c>
    </row>
    <row r="40" spans="1:8" x14ac:dyDescent="0.3">
      <c r="A40" s="2">
        <v>43404</v>
      </c>
      <c r="B40">
        <v>11.38</v>
      </c>
      <c r="C40">
        <v>17.04</v>
      </c>
    </row>
    <row r="42" spans="1:8" x14ac:dyDescent="0.3">
      <c r="A42" t="s">
        <v>44</v>
      </c>
      <c r="B42">
        <f>SUM(B2:B40)</f>
        <v>67.89</v>
      </c>
      <c r="C42">
        <f>SUM(C2:C40)</f>
        <v>332.75999999999993</v>
      </c>
      <c r="D42">
        <f>SUM(D2:D40)</f>
        <v>22.55</v>
      </c>
      <c r="E42" s="3">
        <f>SUM(E2:E40)</f>
        <v>886.35</v>
      </c>
      <c r="G42">
        <f>SUM(G2:G41)</f>
        <v>1012.88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7124-532B-41FB-9CCB-941B3AC66AF3}">
  <dimension ref="A1:H34"/>
  <sheetViews>
    <sheetView workbookViewId="0">
      <selection activeCell="D33" sqref="D33"/>
    </sheetView>
  </sheetViews>
  <sheetFormatPr defaultRowHeight="14.4" x14ac:dyDescent="0.3"/>
  <cols>
    <col min="1" max="1" width="10.88671875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1">
        <v>43405</v>
      </c>
      <c r="G2">
        <v>18</v>
      </c>
      <c r="H2" t="s">
        <v>19</v>
      </c>
    </row>
    <row r="3" spans="1:8" x14ac:dyDescent="0.3">
      <c r="A3" s="1">
        <v>43406</v>
      </c>
      <c r="B3">
        <v>9.5</v>
      </c>
      <c r="C3">
        <v>16.39</v>
      </c>
    </row>
    <row r="4" spans="1:8" x14ac:dyDescent="0.3">
      <c r="A4" s="1">
        <v>43407</v>
      </c>
      <c r="C4">
        <f>10+16.74+4</f>
        <v>30.74</v>
      </c>
    </row>
    <row r="5" spans="1:8" x14ac:dyDescent="0.3">
      <c r="A5" s="1">
        <v>43408</v>
      </c>
    </row>
    <row r="6" spans="1:8" x14ac:dyDescent="0.3">
      <c r="A6" s="1">
        <v>43409</v>
      </c>
      <c r="C6">
        <v>15</v>
      </c>
      <c r="E6">
        <v>565</v>
      </c>
      <c r="F6" t="s">
        <v>20</v>
      </c>
      <c r="G6">
        <v>22.47</v>
      </c>
      <c r="H6" t="s">
        <v>21</v>
      </c>
    </row>
    <row r="7" spans="1:8" x14ac:dyDescent="0.3">
      <c r="A7" s="1">
        <v>43410</v>
      </c>
      <c r="C7">
        <f>18+19.8+3.5</f>
        <v>41.3</v>
      </c>
      <c r="G7">
        <v>60</v>
      </c>
      <c r="H7" t="s">
        <v>22</v>
      </c>
    </row>
    <row r="8" spans="1:8" x14ac:dyDescent="0.3">
      <c r="A8" s="1">
        <v>43411</v>
      </c>
    </row>
    <row r="9" spans="1:8" x14ac:dyDescent="0.3">
      <c r="A9" s="1">
        <v>43412</v>
      </c>
      <c r="G9">
        <v>54</v>
      </c>
      <c r="H9" t="s">
        <v>23</v>
      </c>
    </row>
    <row r="10" spans="1:8" x14ac:dyDescent="0.3">
      <c r="A10" s="1">
        <v>43413</v>
      </c>
      <c r="C10">
        <v>6.25</v>
      </c>
    </row>
    <row r="11" spans="1:8" x14ac:dyDescent="0.3">
      <c r="A11" s="1">
        <v>43414</v>
      </c>
      <c r="C11">
        <f>15.54+10</f>
        <v>25.54</v>
      </c>
      <c r="G11">
        <v>18</v>
      </c>
      <c r="H11" t="s">
        <v>19</v>
      </c>
    </row>
    <row r="12" spans="1:8" x14ac:dyDescent="0.3">
      <c r="A12" s="1">
        <v>43415</v>
      </c>
      <c r="B12" s="2"/>
      <c r="C12">
        <v>4</v>
      </c>
      <c r="G12">
        <v>6</v>
      </c>
      <c r="H12" t="s">
        <v>24</v>
      </c>
    </row>
    <row r="13" spans="1:8" x14ac:dyDescent="0.3">
      <c r="A13" s="1">
        <v>43416</v>
      </c>
      <c r="B13">
        <f>8.99+15.64</f>
        <v>24.630000000000003</v>
      </c>
      <c r="C13">
        <f>7+5</f>
        <v>12</v>
      </c>
      <c r="G13">
        <v>28.43</v>
      </c>
      <c r="H13" t="s">
        <v>25</v>
      </c>
    </row>
    <row r="14" spans="1:8" x14ac:dyDescent="0.3">
      <c r="A14" s="1">
        <v>43417</v>
      </c>
      <c r="B14">
        <v>8.99</v>
      </c>
      <c r="C14">
        <v>10</v>
      </c>
    </row>
    <row r="15" spans="1:8" x14ac:dyDescent="0.3">
      <c r="A15" s="1"/>
      <c r="C15">
        <v>6</v>
      </c>
    </row>
    <row r="16" spans="1:8" x14ac:dyDescent="0.3">
      <c r="A16" s="1">
        <v>43418</v>
      </c>
      <c r="C16">
        <v>4.25</v>
      </c>
      <c r="G16">
        <v>18</v>
      </c>
      <c r="H16" t="s">
        <v>19</v>
      </c>
    </row>
    <row r="17" spans="1:8" x14ac:dyDescent="0.3">
      <c r="A17" s="1">
        <v>43419</v>
      </c>
      <c r="B17">
        <v>31.36</v>
      </c>
      <c r="C17">
        <f>16.14+4.5+10</f>
        <v>30.64</v>
      </c>
      <c r="G17">
        <v>14.98</v>
      </c>
      <c r="H17" t="s">
        <v>26</v>
      </c>
    </row>
    <row r="18" spans="1:8" x14ac:dyDescent="0.3">
      <c r="A18" s="1">
        <v>43420</v>
      </c>
      <c r="C18">
        <v>8.9499999999999993</v>
      </c>
      <c r="E18">
        <v>59.99</v>
      </c>
      <c r="F18" t="s">
        <v>27</v>
      </c>
      <c r="G18">
        <v>43.5</v>
      </c>
      <c r="H18" t="s">
        <v>28</v>
      </c>
    </row>
    <row r="19" spans="1:8" x14ac:dyDescent="0.3">
      <c r="A19" s="1">
        <v>43421</v>
      </c>
      <c r="B19">
        <v>6.99</v>
      </c>
      <c r="G19">
        <v>18</v>
      </c>
      <c r="H19" t="s">
        <v>19</v>
      </c>
    </row>
    <row r="20" spans="1:8" x14ac:dyDescent="0.3">
      <c r="A20" s="1">
        <v>43422</v>
      </c>
    </row>
    <row r="21" spans="1:8" x14ac:dyDescent="0.3">
      <c r="A21" s="1">
        <v>43423</v>
      </c>
      <c r="C21">
        <f>7.97+4.75</f>
        <v>12.719999999999999</v>
      </c>
      <c r="G21">
        <v>19.95</v>
      </c>
      <c r="H21" t="s">
        <v>29</v>
      </c>
    </row>
    <row r="22" spans="1:8" x14ac:dyDescent="0.3">
      <c r="A22" s="1">
        <v>43424</v>
      </c>
      <c r="C22">
        <v>14</v>
      </c>
      <c r="E22">
        <v>53.38</v>
      </c>
      <c r="F22" t="s">
        <v>30</v>
      </c>
    </row>
    <row r="23" spans="1:8" x14ac:dyDescent="0.3">
      <c r="A23" s="1">
        <v>43425</v>
      </c>
      <c r="C23">
        <f>14.94+14.4</f>
        <v>29.34</v>
      </c>
    </row>
    <row r="24" spans="1:8" x14ac:dyDescent="0.3">
      <c r="A24" s="1">
        <v>43426</v>
      </c>
    </row>
    <row r="25" spans="1:8" x14ac:dyDescent="0.3">
      <c r="A25" s="1">
        <v>43427</v>
      </c>
      <c r="B25">
        <v>12.87</v>
      </c>
      <c r="C25">
        <f>14+4.5</f>
        <v>18.5</v>
      </c>
      <c r="D25">
        <v>46.61</v>
      </c>
      <c r="G25">
        <v>23.75</v>
      </c>
      <c r="H25" t="s">
        <v>31</v>
      </c>
    </row>
    <row r="26" spans="1:8" x14ac:dyDescent="0.3">
      <c r="A26" s="1">
        <v>43428</v>
      </c>
      <c r="B26">
        <v>9.99</v>
      </c>
    </row>
    <row r="27" spans="1:8" x14ac:dyDescent="0.3">
      <c r="A27" s="1">
        <v>43429</v>
      </c>
      <c r="C27">
        <v>10</v>
      </c>
    </row>
    <row r="28" spans="1:8" x14ac:dyDescent="0.3">
      <c r="A28" s="1">
        <v>43430</v>
      </c>
      <c r="C28">
        <v>13</v>
      </c>
      <c r="E28">
        <v>14.99</v>
      </c>
      <c r="F28" t="s">
        <v>32</v>
      </c>
    </row>
    <row r="29" spans="1:8" x14ac:dyDescent="0.3">
      <c r="A29" s="1">
        <v>43431</v>
      </c>
    </row>
    <row r="30" spans="1:8" x14ac:dyDescent="0.3">
      <c r="A30" s="1">
        <v>43432</v>
      </c>
      <c r="B30">
        <v>10.98</v>
      </c>
      <c r="C30">
        <v>3.25</v>
      </c>
      <c r="G30">
        <v>112.5</v>
      </c>
      <c r="H30" t="s">
        <v>33</v>
      </c>
    </row>
    <row r="31" spans="1:8" x14ac:dyDescent="0.3">
      <c r="A31" s="1">
        <v>43433</v>
      </c>
      <c r="B31">
        <v>9.19</v>
      </c>
      <c r="C31">
        <v>15.6</v>
      </c>
    </row>
    <row r="32" spans="1:8" x14ac:dyDescent="0.3">
      <c r="A32" s="1">
        <v>43434</v>
      </c>
      <c r="C32">
        <f>10+12</f>
        <v>22</v>
      </c>
      <c r="D32">
        <v>1</v>
      </c>
    </row>
    <row r="33" spans="1:7" x14ac:dyDescent="0.3">
      <c r="A33" s="1"/>
    </row>
    <row r="34" spans="1:7" x14ac:dyDescent="0.3">
      <c r="A34" t="s">
        <v>17</v>
      </c>
      <c r="B34">
        <f>SUM(B4:B32)</f>
        <v>115</v>
      </c>
      <c r="C34">
        <f>SUM(C4:C32)</f>
        <v>333.08</v>
      </c>
      <c r="D34">
        <f>SUM(D4:D32)</f>
        <v>47.61</v>
      </c>
      <c r="E34">
        <f>SUM(E4:E32)</f>
        <v>693.36</v>
      </c>
      <c r="G34">
        <f>SUM(G4:G32)</f>
        <v>439.58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B24B-7C85-455E-BA09-1965B0389F58}">
  <dimension ref="A1:H35"/>
  <sheetViews>
    <sheetView workbookViewId="0">
      <selection activeCell="C33" sqref="C33"/>
    </sheetView>
  </sheetViews>
  <sheetFormatPr defaultRowHeight="14.4" x14ac:dyDescent="0.3"/>
  <cols>
    <col min="1" max="1" width="12.21875" customWidth="1"/>
    <col min="6" max="6" width="18.33203125" customWidth="1"/>
    <col min="8" max="8" width="13.44140625" customWidth="1"/>
  </cols>
  <sheetData>
    <row r="1" spans="1:8" x14ac:dyDescent="0.3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8" x14ac:dyDescent="0.3">
      <c r="A2" s="1">
        <v>43435</v>
      </c>
      <c r="C2">
        <v>15.95</v>
      </c>
      <c r="E2">
        <v>0.99</v>
      </c>
      <c r="F2" t="s">
        <v>32</v>
      </c>
    </row>
    <row r="3" spans="1:8" x14ac:dyDescent="0.3">
      <c r="A3" s="1">
        <v>43436</v>
      </c>
    </row>
    <row r="4" spans="1:8" x14ac:dyDescent="0.3">
      <c r="A4" s="1">
        <v>43437</v>
      </c>
      <c r="C4">
        <v>16.25</v>
      </c>
      <c r="E4">
        <v>89</v>
      </c>
      <c r="F4" t="s">
        <v>46</v>
      </c>
    </row>
    <row r="5" spans="1:8" x14ac:dyDescent="0.3">
      <c r="A5" s="1">
        <v>43438</v>
      </c>
      <c r="D5">
        <v>30.92</v>
      </c>
      <c r="E5">
        <v>565</v>
      </c>
      <c r="F5" t="s">
        <v>20</v>
      </c>
      <c r="G5">
        <v>14.99</v>
      </c>
      <c r="H5" t="s">
        <v>136</v>
      </c>
    </row>
    <row r="6" spans="1:8" x14ac:dyDescent="0.3">
      <c r="A6" s="1">
        <v>43439</v>
      </c>
      <c r="E6">
        <v>54.84</v>
      </c>
      <c r="F6" t="s">
        <v>137</v>
      </c>
    </row>
    <row r="7" spans="1:8" x14ac:dyDescent="0.3">
      <c r="A7" s="1">
        <v>43440</v>
      </c>
      <c r="G7">
        <v>50.98</v>
      </c>
      <c r="H7" t="s">
        <v>138</v>
      </c>
    </row>
    <row r="8" spans="1:8" x14ac:dyDescent="0.3">
      <c r="A8" s="1">
        <v>43441</v>
      </c>
      <c r="B8">
        <v>20.46</v>
      </c>
      <c r="C8">
        <v>5</v>
      </c>
      <c r="G8">
        <v>29.99</v>
      </c>
      <c r="H8" t="s">
        <v>139</v>
      </c>
    </row>
    <row r="9" spans="1:8" x14ac:dyDescent="0.3">
      <c r="A9" s="1">
        <v>43442</v>
      </c>
      <c r="B9">
        <v>29.52</v>
      </c>
      <c r="C9">
        <f>10.25+6.5</f>
        <v>16.75</v>
      </c>
      <c r="G9">
        <f>10.35+25</f>
        <v>35.35</v>
      </c>
      <c r="H9" t="s">
        <v>140</v>
      </c>
    </row>
    <row r="10" spans="1:8" x14ac:dyDescent="0.3">
      <c r="A10" s="1">
        <v>43443</v>
      </c>
      <c r="B10">
        <v>3.99</v>
      </c>
      <c r="C10">
        <v>14</v>
      </c>
      <c r="G10">
        <v>8.5</v>
      </c>
      <c r="H10" t="s">
        <v>141</v>
      </c>
    </row>
    <row r="11" spans="1:8" x14ac:dyDescent="0.3">
      <c r="A11" s="1">
        <v>43444</v>
      </c>
      <c r="C11">
        <f>8.13+13.25</f>
        <v>21.380000000000003</v>
      </c>
      <c r="G11">
        <v>27.5</v>
      </c>
      <c r="H11" t="s">
        <v>75</v>
      </c>
    </row>
    <row r="12" spans="1:8" x14ac:dyDescent="0.3">
      <c r="A12" s="1">
        <v>43445</v>
      </c>
    </row>
    <row r="13" spans="1:8" x14ac:dyDescent="0.3">
      <c r="A13" s="1">
        <v>43446</v>
      </c>
      <c r="B13">
        <v>31.9</v>
      </c>
      <c r="C13">
        <v>16.14</v>
      </c>
    </row>
    <row r="14" spans="1:8" x14ac:dyDescent="0.3">
      <c r="A14" s="1">
        <v>43447</v>
      </c>
      <c r="B14">
        <v>4.3899999999999997</v>
      </c>
    </row>
    <row r="15" spans="1:8" x14ac:dyDescent="0.3">
      <c r="A15" s="1">
        <v>43448</v>
      </c>
      <c r="B15">
        <v>7.38</v>
      </c>
    </row>
    <row r="16" spans="1:8" x14ac:dyDescent="0.3">
      <c r="A16" s="1">
        <v>43449</v>
      </c>
      <c r="C16">
        <f>5.25+5.5+22.12</f>
        <v>32.870000000000005</v>
      </c>
      <c r="G16">
        <v>15.99</v>
      </c>
      <c r="H16" t="s">
        <v>136</v>
      </c>
    </row>
    <row r="17" spans="1:8" x14ac:dyDescent="0.3">
      <c r="A17" s="1">
        <v>43450</v>
      </c>
    </row>
    <row r="18" spans="1:8" x14ac:dyDescent="0.3">
      <c r="A18" s="1">
        <v>43451</v>
      </c>
      <c r="B18">
        <f>5+21.98</f>
        <v>26.98</v>
      </c>
      <c r="C18">
        <f>10+10.17</f>
        <v>20.170000000000002</v>
      </c>
      <c r="E18">
        <v>59.99</v>
      </c>
      <c r="F18" t="s">
        <v>27</v>
      </c>
      <c r="G18">
        <v>40</v>
      </c>
      <c r="H18" t="s">
        <v>142</v>
      </c>
    </row>
    <row r="19" spans="1:8" x14ac:dyDescent="0.3">
      <c r="A19" s="1">
        <v>43452</v>
      </c>
      <c r="C19">
        <f>10+7.5</f>
        <v>17.5</v>
      </c>
      <c r="E19">
        <v>39.32</v>
      </c>
      <c r="F19" t="s">
        <v>30</v>
      </c>
    </row>
    <row r="20" spans="1:8" x14ac:dyDescent="0.3">
      <c r="A20" s="1">
        <v>43453</v>
      </c>
      <c r="B20">
        <f>8.56+16.85</f>
        <v>25.410000000000004</v>
      </c>
      <c r="C20">
        <f>11+2.35+4.39</f>
        <v>17.739999999999998</v>
      </c>
      <c r="D20">
        <f>38.83+19.29</f>
        <v>58.12</v>
      </c>
      <c r="G20">
        <v>9.99</v>
      </c>
      <c r="H20" t="s">
        <v>136</v>
      </c>
    </row>
    <row r="21" spans="1:8" x14ac:dyDescent="0.3">
      <c r="A21" s="1">
        <v>43454</v>
      </c>
      <c r="G21">
        <v>21.8</v>
      </c>
      <c r="H21" t="s">
        <v>143</v>
      </c>
    </row>
    <row r="22" spans="1:8" x14ac:dyDescent="0.3">
      <c r="A22" s="1">
        <v>43455</v>
      </c>
      <c r="C22">
        <f>3.25 + 19.08 + 4.5 + 11</f>
        <v>37.83</v>
      </c>
    </row>
    <row r="23" spans="1:8" x14ac:dyDescent="0.3">
      <c r="A23" s="1">
        <v>43456</v>
      </c>
    </row>
    <row r="24" spans="1:8" x14ac:dyDescent="0.3">
      <c r="A24" s="1">
        <v>43457</v>
      </c>
    </row>
    <row r="25" spans="1:8" x14ac:dyDescent="0.3">
      <c r="A25" s="1">
        <v>43458</v>
      </c>
      <c r="B25">
        <v>28.5</v>
      </c>
      <c r="C25">
        <f>17.52 + 2.6</f>
        <v>20.12</v>
      </c>
    </row>
    <row r="26" spans="1:8" x14ac:dyDescent="0.3">
      <c r="A26" s="1">
        <v>43459</v>
      </c>
    </row>
    <row r="27" spans="1:8" x14ac:dyDescent="0.3">
      <c r="A27" s="1">
        <v>43460</v>
      </c>
      <c r="B27">
        <v>17.53</v>
      </c>
      <c r="C27">
        <f>22 + 7</f>
        <v>29</v>
      </c>
    </row>
    <row r="28" spans="1:8" x14ac:dyDescent="0.3">
      <c r="A28" s="1">
        <v>43461</v>
      </c>
      <c r="C28">
        <v>2.4900000000000002</v>
      </c>
      <c r="D28">
        <v>26.71</v>
      </c>
    </row>
    <row r="29" spans="1:8" x14ac:dyDescent="0.3">
      <c r="A29" s="1">
        <v>43462</v>
      </c>
      <c r="C29">
        <f>10.35+35.75</f>
        <v>46.1</v>
      </c>
    </row>
    <row r="30" spans="1:8" x14ac:dyDescent="0.3">
      <c r="A30" s="1">
        <v>43463</v>
      </c>
      <c r="C30">
        <f>8 + 8.24</f>
        <v>16.240000000000002</v>
      </c>
    </row>
    <row r="31" spans="1:8" x14ac:dyDescent="0.3">
      <c r="A31" s="1">
        <v>43464</v>
      </c>
    </row>
    <row r="32" spans="1:8" x14ac:dyDescent="0.3">
      <c r="A32" s="1">
        <v>43465</v>
      </c>
      <c r="C32">
        <f>27.48 + 19.2 + 24.15 + 8.56</f>
        <v>79.39</v>
      </c>
    </row>
    <row r="34" spans="1:7" x14ac:dyDescent="0.3">
      <c r="A34" t="s">
        <v>17</v>
      </c>
      <c r="B34">
        <f>SUM(B5:B32)</f>
        <v>196.06</v>
      </c>
      <c r="C34">
        <f t="shared" ref="C34:G34" si="0">SUM(C5:C32)</f>
        <v>392.72</v>
      </c>
      <c r="D34">
        <f t="shared" si="0"/>
        <v>115.75</v>
      </c>
      <c r="E34">
        <f>SUM(E2:E32)</f>
        <v>809.1400000000001</v>
      </c>
      <c r="G34">
        <f t="shared" si="0"/>
        <v>255.09000000000003</v>
      </c>
    </row>
    <row r="35" spans="1:7" x14ac:dyDescent="0.3">
      <c r="E35" t="s">
        <v>144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47B1-9420-4FC2-8543-F1830AEDC699}">
  <dimension ref="A1"/>
  <sheetViews>
    <sheetView workbookViewId="0"/>
  </sheetViews>
  <sheetFormatPr defaultRowHeight="14.4" x14ac:dyDescent="0.3"/>
  <sheetData>
    <row r="1" spans="1:1" x14ac:dyDescent="0.3">
      <c r="A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Year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Christensen</dc:creator>
  <cp:lastModifiedBy>Kevin Christensen</cp:lastModifiedBy>
  <dcterms:created xsi:type="dcterms:W3CDTF">2018-11-30T18:15:43Z</dcterms:created>
  <dcterms:modified xsi:type="dcterms:W3CDTF">2019-01-24T22:24:53Z</dcterms:modified>
</cp:coreProperties>
</file>