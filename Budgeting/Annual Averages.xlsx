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 Christensen\Documents\Budgeting\"/>
    </mc:Choice>
  </mc:AlternateContent>
  <xr:revisionPtr revIDLastSave="0" documentId="13_ncr:1_{576CE69C-6EBC-4CF1-8D7A-782940004FC4}" xr6:coauthVersionLast="36" xr6:coauthVersionMax="36" xr10:uidLastSave="{00000000-0000-0000-0000-000000000000}"/>
  <bookViews>
    <workbookView xWindow="0" yWindow="0" windowWidth="23040" windowHeight="9060" activeTab="2" xr2:uid="{3ADEC046-710F-4FCD-A0F0-F62E76AE0F5F}"/>
  </bookViews>
  <sheets>
    <sheet name="Averages" sheetId="1" r:id="rId1"/>
    <sheet name="2016" sheetId="2" r:id="rId2"/>
    <sheet name="2017" sheetId="3" r:id="rId3"/>
    <sheet name="2018" sheetId="4" r:id="rId4"/>
    <sheet name="2019" sheetId="5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3" i="4" l="1"/>
  <c r="E13" i="4"/>
  <c r="D13" i="4"/>
  <c r="C13" i="4"/>
  <c r="B13" i="4"/>
  <c r="F12" i="4"/>
  <c r="E12" i="4"/>
  <c r="D12" i="4"/>
  <c r="C12" i="4"/>
  <c r="B12" i="4"/>
  <c r="H12" i="4" s="1"/>
  <c r="F11" i="4"/>
  <c r="H11" i="4" s="1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H4" i="4" s="1"/>
  <c r="F3" i="4"/>
  <c r="F17" i="4" s="1"/>
  <c r="E3" i="4"/>
  <c r="D3" i="4"/>
  <c r="C3" i="4"/>
  <c r="B3" i="4"/>
  <c r="F2" i="4"/>
  <c r="E2" i="4"/>
  <c r="D2" i="4"/>
  <c r="C2" i="4"/>
  <c r="C15" i="4" s="1"/>
  <c r="C4" i="1" s="1"/>
  <c r="B2" i="4"/>
  <c r="H10" i="4" l="1"/>
  <c r="E17" i="4"/>
  <c r="H9" i="4"/>
  <c r="D17" i="4"/>
  <c r="F15" i="4"/>
  <c r="G4" i="1" s="1"/>
  <c r="H7" i="4"/>
  <c r="B17" i="4"/>
  <c r="H6" i="4"/>
  <c r="H8" i="4"/>
  <c r="H13" i="4"/>
  <c r="H5" i="4"/>
  <c r="B15" i="4"/>
  <c r="B4" i="1" s="1"/>
  <c r="D15" i="4"/>
  <c r="E15" i="4"/>
  <c r="F4" i="1" s="1"/>
  <c r="H2" i="4"/>
  <c r="C17" i="4"/>
  <c r="H3" i="4"/>
  <c r="H15" i="4" l="1"/>
  <c r="E4" i="1"/>
  <c r="G17" i="2"/>
  <c r="E17" i="2"/>
  <c r="D17" i="2"/>
  <c r="B17" i="2"/>
  <c r="C13" i="2"/>
  <c r="I13" i="2" s="1"/>
  <c r="C12" i="2"/>
  <c r="I12" i="2" s="1"/>
  <c r="C11" i="2"/>
  <c r="I11" i="2" s="1"/>
  <c r="C10" i="2"/>
  <c r="I10" i="2" s="1"/>
  <c r="C9" i="2"/>
  <c r="I9" i="2" s="1"/>
  <c r="C8" i="2"/>
  <c r="I8" i="2" s="1"/>
  <c r="C7" i="2"/>
  <c r="I7" i="2" s="1"/>
  <c r="C6" i="2"/>
  <c r="I6" i="2" s="1"/>
  <c r="F5" i="2"/>
  <c r="F17" i="2" s="1"/>
  <c r="C5" i="2"/>
  <c r="I4" i="2"/>
  <c r="C4" i="2"/>
  <c r="G3" i="2"/>
  <c r="F3" i="2"/>
  <c r="E3" i="2"/>
  <c r="D3" i="2"/>
  <c r="C3" i="2"/>
  <c r="B3" i="2"/>
  <c r="I3" i="2" s="1"/>
  <c r="G2" i="2"/>
  <c r="G15" i="2" s="1"/>
  <c r="G2" i="1" s="1"/>
  <c r="F2" i="2"/>
  <c r="E2" i="2"/>
  <c r="D2" i="2"/>
  <c r="C2" i="2"/>
  <c r="B2" i="2"/>
  <c r="E15" i="2" l="1"/>
  <c r="E2" i="1" s="1"/>
  <c r="I2" i="2"/>
  <c r="D15" i="2"/>
  <c r="D2" i="1" s="1"/>
  <c r="F15" i="2"/>
  <c r="F2" i="1" s="1"/>
  <c r="H17" i="4"/>
  <c r="I4" i="1"/>
  <c r="I5" i="2"/>
  <c r="I17" i="2" s="1"/>
  <c r="B15" i="2"/>
  <c r="B2" i="1" s="1"/>
  <c r="C17" i="2"/>
  <c r="C15" i="2"/>
  <c r="C2" i="1" s="1"/>
  <c r="I15" i="2" l="1"/>
  <c r="I2" i="1" s="1"/>
</calcChain>
</file>

<file path=xl/sharedStrings.xml><?xml version="1.0" encoding="utf-8"?>
<sst xmlns="http://schemas.openxmlformats.org/spreadsheetml/2006/main" count="48" uniqueCount="20">
  <si>
    <t>Groceries</t>
  </si>
  <si>
    <t>Eating Out</t>
  </si>
  <si>
    <t>Drugs</t>
  </si>
  <si>
    <t>Car</t>
  </si>
  <si>
    <t>Bills</t>
  </si>
  <si>
    <t>Other</t>
  </si>
  <si>
    <t>Totals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</si>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</sst>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udget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udget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ar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Sheet14"/>
    </sheetNames>
    <sheetDataSet>
      <sheetData sheetId="0"/>
      <sheetData sheetId="1"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</row>
      </sheetData>
      <sheetData sheetId="2"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H31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ar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Sheet14"/>
    </sheetNames>
    <sheetDataSet>
      <sheetData sheetId="0"/>
      <sheetData sheetId="1">
        <row r="36">
          <cell r="B36">
            <v>51.1</v>
          </cell>
          <cell r="C36">
            <v>110.63</v>
          </cell>
          <cell r="D36">
            <v>41.79</v>
          </cell>
          <cell r="E36">
            <v>700.97</v>
          </cell>
          <cell r="G36">
            <v>194.02</v>
          </cell>
        </row>
      </sheetData>
      <sheetData sheetId="2">
        <row r="44">
          <cell r="B44">
            <v>67.349999999999994</v>
          </cell>
          <cell r="C44">
            <v>293.79000000000002</v>
          </cell>
          <cell r="D44">
            <v>60.16</v>
          </cell>
          <cell r="E44">
            <v>715.96</v>
          </cell>
          <cell r="G44">
            <v>267.47000000000003</v>
          </cell>
        </row>
      </sheetData>
      <sheetData sheetId="3">
        <row r="46">
          <cell r="B46">
            <v>257.29000000000002</v>
          </cell>
          <cell r="C46">
            <v>401.85</v>
          </cell>
          <cell r="D46">
            <v>111.32</v>
          </cell>
          <cell r="E46">
            <v>1010.47</v>
          </cell>
          <cell r="G46">
            <v>403.83</v>
          </cell>
        </row>
      </sheetData>
      <sheetData sheetId="4">
        <row r="45">
          <cell r="B45">
            <v>146.68</v>
          </cell>
          <cell r="C45">
            <v>335.07</v>
          </cell>
          <cell r="D45">
            <v>166.98</v>
          </cell>
          <cell r="E45">
            <v>698.26</v>
          </cell>
          <cell r="G45">
            <v>398.11</v>
          </cell>
        </row>
      </sheetData>
      <sheetData sheetId="5">
        <row r="39">
          <cell r="B39">
            <v>190.1</v>
          </cell>
          <cell r="C39">
            <v>213.07</v>
          </cell>
          <cell r="D39">
            <v>41.8</v>
          </cell>
          <cell r="E39">
            <v>795.95</v>
          </cell>
          <cell r="G39">
            <v>454.65</v>
          </cell>
        </row>
      </sheetData>
      <sheetData sheetId="6">
        <row r="46">
          <cell r="B46">
            <v>105.37</v>
          </cell>
          <cell r="C46">
            <v>290.31</v>
          </cell>
          <cell r="D46">
            <v>136.02000000000001</v>
          </cell>
          <cell r="E46">
            <v>793.44</v>
          </cell>
          <cell r="G46">
            <v>215.99</v>
          </cell>
        </row>
      </sheetData>
      <sheetData sheetId="7">
        <row r="47">
          <cell r="B47">
            <v>142.61000000000001</v>
          </cell>
          <cell r="C47">
            <v>410.16</v>
          </cell>
          <cell r="D47">
            <v>158.41999999999999</v>
          </cell>
          <cell r="E47">
            <v>842.51</v>
          </cell>
          <cell r="G47">
            <v>402.45</v>
          </cell>
        </row>
      </sheetData>
      <sheetData sheetId="8">
        <row r="43">
          <cell r="B43">
            <v>206.52</v>
          </cell>
          <cell r="C43">
            <v>266.95999999999998</v>
          </cell>
          <cell r="D43">
            <v>198.61</v>
          </cell>
          <cell r="E43">
            <v>841.59</v>
          </cell>
          <cell r="G43">
            <v>221.11</v>
          </cell>
        </row>
      </sheetData>
      <sheetData sheetId="9">
        <row r="45">
          <cell r="B45">
            <v>46.78</v>
          </cell>
          <cell r="C45">
            <v>340.49</v>
          </cell>
          <cell r="D45">
            <v>46.96</v>
          </cell>
          <cell r="E45">
            <v>832.33</v>
          </cell>
          <cell r="G45">
            <v>624.08000000000004</v>
          </cell>
        </row>
      </sheetData>
      <sheetData sheetId="10">
        <row r="42">
          <cell r="B42">
            <v>67.89</v>
          </cell>
          <cell r="C42">
            <v>332.75999999999993</v>
          </cell>
          <cell r="D42">
            <v>22.55</v>
          </cell>
          <cell r="E42">
            <v>886.35</v>
          </cell>
          <cell r="G42">
            <v>1012.88</v>
          </cell>
        </row>
      </sheetData>
      <sheetData sheetId="11">
        <row r="34">
          <cell r="B34">
            <v>115</v>
          </cell>
          <cell r="C34">
            <v>333.08</v>
          </cell>
          <cell r="D34">
            <v>47.61</v>
          </cell>
          <cell r="E34">
            <v>693.36</v>
          </cell>
          <cell r="G34">
            <v>439.58</v>
          </cell>
        </row>
      </sheetData>
      <sheetData sheetId="12">
        <row r="34">
          <cell r="B34">
            <v>196.06</v>
          </cell>
          <cell r="C34">
            <v>392.72</v>
          </cell>
          <cell r="D34">
            <v>115.75</v>
          </cell>
          <cell r="E34">
            <v>809.1400000000001</v>
          </cell>
          <cell r="G34">
            <v>255.09000000000003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CE9C7-7895-479D-962D-B5D588E5DDBB}">
  <dimension ref="A1:I5"/>
  <sheetViews>
    <sheetView workbookViewId="0">
      <selection activeCell="B5" sqref="B5"/>
    </sheetView>
  </sheetViews>
  <sheetFormatPr defaultRowHeight="14.4" x14ac:dyDescent="0.3"/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</row>
    <row r="2" spans="1:9" x14ac:dyDescent="0.3">
      <c r="A2">
        <v>2016</v>
      </c>
      <c r="B2">
        <f>'2016'!B15</f>
        <v>1612.63</v>
      </c>
      <c r="C2">
        <f>'2016'!C15</f>
        <v>1814.99</v>
      </c>
      <c r="D2">
        <f>'2016'!D15</f>
        <v>617.34</v>
      </c>
      <c r="E2">
        <f>'2016'!E15</f>
        <v>1421.2799999999997</v>
      </c>
      <c r="F2">
        <f>'2016'!F15</f>
        <v>2486.06</v>
      </c>
      <c r="G2">
        <f>'2016'!G15</f>
        <v>4241.33</v>
      </c>
      <c r="I2">
        <f>'2016'!I15</f>
        <v>12193.63</v>
      </c>
    </row>
    <row r="3" spans="1:9" x14ac:dyDescent="0.3">
      <c r="A3">
        <v>2017</v>
      </c>
    </row>
    <row r="4" spans="1:9" x14ac:dyDescent="0.3">
      <c r="A4">
        <v>2018</v>
      </c>
      <c r="B4">
        <f>'2018'!B15</f>
        <v>1592.7500000000002</v>
      </c>
      <c r="C4">
        <f>'2018'!C15</f>
        <v>3720.8899999999994</v>
      </c>
      <c r="E4">
        <f>'2018'!D15</f>
        <v>1147.97</v>
      </c>
      <c r="F4">
        <f>'2018'!E15</f>
        <v>9620.33</v>
      </c>
      <c r="G4">
        <f>'2018'!F15</f>
        <v>4889.26</v>
      </c>
      <c r="I4">
        <f>'2018'!H15</f>
        <v>20971.199999999997</v>
      </c>
    </row>
    <row r="5" spans="1:9" x14ac:dyDescent="0.3">
      <c r="A5">
        <v>2019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8892-7824-42ED-83AF-FD3014894057}">
  <dimension ref="A1:I17"/>
  <sheetViews>
    <sheetView workbookViewId="0">
      <selection activeCell="B15" sqref="B15:I15"/>
    </sheetView>
  </sheetViews>
  <sheetFormatPr defaultRowHeight="14.4" x14ac:dyDescent="0.3"/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</row>
    <row r="2" spans="1:9" x14ac:dyDescent="0.3">
      <c r="A2" t="s">
        <v>7</v>
      </c>
      <c r="B2">
        <f>[1]January!B34</f>
        <v>0</v>
      </c>
      <c r="C2">
        <f>[1]January!C34</f>
        <v>0</v>
      </c>
      <c r="D2">
        <f>[1]January!D34</f>
        <v>0</v>
      </c>
      <c r="E2">
        <f>[1]January!E34</f>
        <v>0</v>
      </c>
      <c r="F2">
        <f>[1]January!F34</f>
        <v>0</v>
      </c>
      <c r="G2">
        <f>[1]January!H34</f>
        <v>0</v>
      </c>
      <c r="I2">
        <f>SUM(B2:G2)</f>
        <v>0</v>
      </c>
    </row>
    <row r="3" spans="1:9" x14ac:dyDescent="0.3">
      <c r="A3" t="s">
        <v>8</v>
      </c>
      <c r="B3">
        <f>[1]February!B31</f>
        <v>0</v>
      </c>
      <c r="C3">
        <f>[1]February!C31</f>
        <v>0</v>
      </c>
      <c r="D3">
        <f>[1]February!D31</f>
        <v>0</v>
      </c>
      <c r="E3">
        <f>[1]February!E31</f>
        <v>0</v>
      </c>
      <c r="F3">
        <f>[1]February!F31</f>
        <v>0</v>
      </c>
      <c r="G3">
        <f>[1]February!H31</f>
        <v>0</v>
      </c>
      <c r="I3">
        <f t="shared" ref="I3:I15" si="0">SUM(B3:G3)</f>
        <v>0</v>
      </c>
    </row>
    <row r="4" spans="1:9" x14ac:dyDescent="0.3">
      <c r="A4" t="s">
        <v>9</v>
      </c>
      <c r="B4">
        <v>274.95</v>
      </c>
      <c r="C4">
        <f>27.11 + 22.57 + 151.28</f>
        <v>200.96</v>
      </c>
      <c r="D4">
        <v>92.99</v>
      </c>
      <c r="E4">
        <v>136.26</v>
      </c>
      <c r="F4">
        <v>440.97</v>
      </c>
      <c r="G4">
        <v>105.89</v>
      </c>
      <c r="I4">
        <f t="shared" si="0"/>
        <v>1252.0200000000002</v>
      </c>
    </row>
    <row r="5" spans="1:9" x14ac:dyDescent="0.3">
      <c r="A5" t="s">
        <v>10</v>
      </c>
      <c r="B5">
        <v>106.57</v>
      </c>
      <c r="C5">
        <f>36.96 + 8 + 12.25</f>
        <v>57.21</v>
      </c>
      <c r="D5">
        <v>15.95</v>
      </c>
      <c r="E5">
        <v>34.229999999999997</v>
      </c>
      <c r="F5">
        <f>523.19 - E5</f>
        <v>488.96000000000004</v>
      </c>
      <c r="G5">
        <v>257.27999999999997</v>
      </c>
      <c r="I5">
        <f t="shared" si="0"/>
        <v>960.2</v>
      </c>
    </row>
    <row r="6" spans="1:9" x14ac:dyDescent="0.3">
      <c r="A6" t="s">
        <v>11</v>
      </c>
      <c r="B6">
        <v>154.13999999999999</v>
      </c>
      <c r="C6">
        <f>132.33 + 8.5 + 48.75</f>
        <v>189.58</v>
      </c>
      <c r="D6">
        <v>29</v>
      </c>
      <c r="E6">
        <v>53.98</v>
      </c>
      <c r="F6">
        <v>283.95999999999998</v>
      </c>
      <c r="G6">
        <v>207.7</v>
      </c>
      <c r="I6">
        <f t="shared" si="0"/>
        <v>918.36000000000013</v>
      </c>
    </row>
    <row r="7" spans="1:9" x14ac:dyDescent="0.3">
      <c r="A7" t="s">
        <v>12</v>
      </c>
      <c r="B7">
        <v>219.96</v>
      </c>
      <c r="C7">
        <f>157.6 + 83.43 + 8</f>
        <v>249.03</v>
      </c>
      <c r="D7">
        <v>42.98</v>
      </c>
      <c r="E7">
        <v>141.07</v>
      </c>
      <c r="F7">
        <v>173.96</v>
      </c>
      <c r="G7">
        <v>316.91000000000003</v>
      </c>
      <c r="I7">
        <f t="shared" si="0"/>
        <v>1143.9100000000001</v>
      </c>
    </row>
    <row r="8" spans="1:9" x14ac:dyDescent="0.3">
      <c r="A8" t="s">
        <v>13</v>
      </c>
      <c r="B8">
        <v>144.33000000000001</v>
      </c>
      <c r="C8">
        <f>204.57 + 89.4 + 22.57</f>
        <v>316.54000000000002</v>
      </c>
      <c r="D8">
        <v>141.61000000000001</v>
      </c>
      <c r="E8">
        <v>125.83</v>
      </c>
      <c r="F8">
        <v>193.99</v>
      </c>
      <c r="G8">
        <v>316.61</v>
      </c>
      <c r="I8">
        <f t="shared" si="0"/>
        <v>1238.9100000000001</v>
      </c>
    </row>
    <row r="9" spans="1:9" x14ac:dyDescent="0.3">
      <c r="A9" t="s">
        <v>14</v>
      </c>
      <c r="B9">
        <v>127.11</v>
      </c>
      <c r="C9">
        <f>121.14 + 73 + 26.5</f>
        <v>220.64</v>
      </c>
      <c r="D9">
        <v>111.48</v>
      </c>
      <c r="E9">
        <v>162.4</v>
      </c>
      <c r="F9">
        <v>113.07</v>
      </c>
      <c r="G9">
        <v>378.28</v>
      </c>
      <c r="I9">
        <f t="shared" si="0"/>
        <v>1112.98</v>
      </c>
    </row>
    <row r="10" spans="1:9" x14ac:dyDescent="0.3">
      <c r="A10" t="s">
        <v>15</v>
      </c>
      <c r="B10">
        <v>229.13</v>
      </c>
      <c r="C10">
        <f>108.22 + 56.26 + 42.35</f>
        <v>206.82999999999998</v>
      </c>
      <c r="D10">
        <v>52.77</v>
      </c>
      <c r="E10">
        <v>196.64</v>
      </c>
      <c r="F10">
        <v>166.07</v>
      </c>
      <c r="G10">
        <v>695.22</v>
      </c>
      <c r="I10">
        <f t="shared" si="0"/>
        <v>1546.6599999999999</v>
      </c>
    </row>
    <row r="11" spans="1:9" x14ac:dyDescent="0.3">
      <c r="A11" t="s">
        <v>16</v>
      </c>
      <c r="B11">
        <v>67.209999999999994</v>
      </c>
      <c r="C11">
        <f>99.69 + 39.37 + 5.1</f>
        <v>144.16</v>
      </c>
      <c r="D11">
        <v>16.68</v>
      </c>
      <c r="E11">
        <v>136.68</v>
      </c>
      <c r="F11">
        <v>114.1</v>
      </c>
      <c r="G11">
        <v>574.19000000000005</v>
      </c>
      <c r="I11">
        <f t="shared" si="0"/>
        <v>1053.02</v>
      </c>
    </row>
    <row r="12" spans="1:9" x14ac:dyDescent="0.3">
      <c r="A12" t="s">
        <v>17</v>
      </c>
      <c r="B12">
        <v>214.06</v>
      </c>
      <c r="C12">
        <f>76.14 + 44 + 20.13</f>
        <v>140.27000000000001</v>
      </c>
      <c r="D12">
        <v>73.900000000000006</v>
      </c>
      <c r="E12">
        <v>340.81</v>
      </c>
      <c r="F12">
        <v>41</v>
      </c>
      <c r="G12">
        <v>956.11</v>
      </c>
      <c r="I12">
        <f t="shared" si="0"/>
        <v>1766.15</v>
      </c>
    </row>
    <row r="13" spans="1:9" x14ac:dyDescent="0.3">
      <c r="A13" t="s">
        <v>18</v>
      </c>
      <c r="B13">
        <v>75.17</v>
      </c>
      <c r="C13">
        <f>56.62 + 25 + 8.15</f>
        <v>89.77000000000001</v>
      </c>
      <c r="D13">
        <v>39.979999999999997</v>
      </c>
      <c r="E13">
        <v>93.38</v>
      </c>
      <c r="F13">
        <v>469.98</v>
      </c>
      <c r="G13">
        <v>433.14</v>
      </c>
      <c r="I13">
        <f t="shared" si="0"/>
        <v>1201.42</v>
      </c>
    </row>
    <row r="15" spans="1:9" x14ac:dyDescent="0.3">
      <c r="A15" t="s">
        <v>6</v>
      </c>
      <c r="B15">
        <f>SUM(B2:B13)</f>
        <v>1612.63</v>
      </c>
      <c r="C15">
        <f t="shared" ref="C15:G15" si="1">SUM(C2:C13)</f>
        <v>1814.99</v>
      </c>
      <c r="D15">
        <f t="shared" si="1"/>
        <v>617.34</v>
      </c>
      <c r="E15">
        <f t="shared" si="1"/>
        <v>1421.2799999999997</v>
      </c>
      <c r="F15">
        <f t="shared" si="1"/>
        <v>2486.06</v>
      </c>
      <c r="G15">
        <f t="shared" si="1"/>
        <v>4241.33</v>
      </c>
      <c r="I15">
        <f t="shared" si="0"/>
        <v>12193.63</v>
      </c>
    </row>
    <row r="17" spans="1:9" x14ac:dyDescent="0.3">
      <c r="A17" t="s">
        <v>19</v>
      </c>
      <c r="B17">
        <f>QUOTIENT(SUM(B4:B13),10)</f>
        <v>161</v>
      </c>
      <c r="C17">
        <f t="shared" ref="C17:I17" si="2">QUOTIENT(SUM(C4:C13),10)</f>
        <v>181</v>
      </c>
      <c r="D17">
        <f t="shared" si="2"/>
        <v>61</v>
      </c>
      <c r="E17">
        <f t="shared" si="2"/>
        <v>142</v>
      </c>
      <c r="F17">
        <f t="shared" si="2"/>
        <v>248</v>
      </c>
      <c r="G17">
        <f t="shared" si="2"/>
        <v>424</v>
      </c>
      <c r="I17">
        <f t="shared" si="2"/>
        <v>1219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E6455-C7BD-47C2-9D8B-15EB962E988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5840-4974-4CBF-9F1B-295C2ECF3E79}">
  <dimension ref="A1:H17"/>
  <sheetViews>
    <sheetView workbookViewId="0">
      <selection activeCell="D15" sqref="D15"/>
    </sheetView>
  </sheetViews>
  <sheetFormatPr defaultRowHeight="14.4" x14ac:dyDescent="0.3"/>
  <cols>
    <col min="1" max="1" width="10.5546875" customWidth="1"/>
  </cols>
  <sheetData>
    <row r="1" spans="1:8" x14ac:dyDescent="0.3">
      <c r="B1" t="s">
        <v>0</v>
      </c>
      <c r="C1" t="s">
        <v>1</v>
      </c>
      <c r="D1" t="s">
        <v>3</v>
      </c>
      <c r="E1" t="s">
        <v>4</v>
      </c>
      <c r="F1" t="s">
        <v>5</v>
      </c>
      <c r="H1" t="s">
        <v>6</v>
      </c>
    </row>
    <row r="2" spans="1:8" x14ac:dyDescent="0.3">
      <c r="A2" t="s">
        <v>7</v>
      </c>
      <c r="B2">
        <f>[2]January!B36</f>
        <v>51.1</v>
      </c>
      <c r="C2">
        <f>[2]January!C36</f>
        <v>110.63</v>
      </c>
      <c r="D2">
        <f>[2]January!D36</f>
        <v>41.79</v>
      </c>
      <c r="E2">
        <f>[2]January!E36</f>
        <v>700.97</v>
      </c>
      <c r="F2">
        <f>[2]January!G36</f>
        <v>194.02</v>
      </c>
      <c r="H2">
        <f t="shared" ref="H2:H13" si="0">SUM(B2:F2)</f>
        <v>1098.51</v>
      </c>
    </row>
    <row r="3" spans="1:8" x14ac:dyDescent="0.3">
      <c r="A3" t="s">
        <v>8</v>
      </c>
      <c r="B3">
        <f>[2]February!B44</f>
        <v>67.349999999999994</v>
      </c>
      <c r="C3">
        <f>[2]February!C44</f>
        <v>293.79000000000002</v>
      </c>
      <c r="D3">
        <f>[2]February!D44</f>
        <v>60.16</v>
      </c>
      <c r="E3">
        <f>[2]February!E44</f>
        <v>715.96</v>
      </c>
      <c r="F3">
        <f>[2]February!G44</f>
        <v>267.47000000000003</v>
      </c>
      <c r="H3">
        <f t="shared" si="0"/>
        <v>1404.73</v>
      </c>
    </row>
    <row r="4" spans="1:8" x14ac:dyDescent="0.3">
      <c r="A4" t="s">
        <v>9</v>
      </c>
      <c r="B4">
        <f>[2]March!B46</f>
        <v>257.29000000000002</v>
      </c>
      <c r="C4">
        <f>[2]March!C46</f>
        <v>401.85</v>
      </c>
      <c r="D4">
        <f>[2]March!D46</f>
        <v>111.32</v>
      </c>
      <c r="E4">
        <f>[2]March!E46</f>
        <v>1010.47</v>
      </c>
      <c r="F4">
        <f>[2]March!G46</f>
        <v>403.83</v>
      </c>
      <c r="H4">
        <f t="shared" si="0"/>
        <v>2184.7600000000002</v>
      </c>
    </row>
    <row r="5" spans="1:8" x14ac:dyDescent="0.3">
      <c r="A5" t="s">
        <v>10</v>
      </c>
      <c r="B5">
        <f>[2]April!B45</f>
        <v>146.68</v>
      </c>
      <c r="C5">
        <f>[2]April!C45</f>
        <v>335.07</v>
      </c>
      <c r="D5">
        <f>[2]April!D45</f>
        <v>166.98</v>
      </c>
      <c r="E5">
        <f>[2]April!E45</f>
        <v>698.26</v>
      </c>
      <c r="F5">
        <f>[2]April!G45</f>
        <v>398.11</v>
      </c>
      <c r="H5">
        <f t="shared" si="0"/>
        <v>1745.1</v>
      </c>
    </row>
    <row r="6" spans="1:8" x14ac:dyDescent="0.3">
      <c r="A6" t="s">
        <v>11</v>
      </c>
      <c r="B6">
        <f>[2]May!B39</f>
        <v>190.1</v>
      </c>
      <c r="C6">
        <f>[2]May!C39</f>
        <v>213.07</v>
      </c>
      <c r="D6">
        <f>[2]May!D39</f>
        <v>41.8</v>
      </c>
      <c r="E6">
        <f>[2]May!E39</f>
        <v>795.95</v>
      </c>
      <c r="F6">
        <f>[2]May!G39</f>
        <v>454.65</v>
      </c>
      <c r="H6">
        <f t="shared" si="0"/>
        <v>1695.5700000000002</v>
      </c>
    </row>
    <row r="7" spans="1:8" x14ac:dyDescent="0.3">
      <c r="A7" t="s">
        <v>12</v>
      </c>
      <c r="B7">
        <f>[2]June!B46</f>
        <v>105.37</v>
      </c>
      <c r="C7">
        <f>[2]June!C46</f>
        <v>290.31</v>
      </c>
      <c r="D7">
        <f>[2]June!D46</f>
        <v>136.02000000000001</v>
      </c>
      <c r="E7">
        <f>[2]June!E46</f>
        <v>793.44</v>
      </c>
      <c r="F7">
        <f>[2]June!G46</f>
        <v>215.99</v>
      </c>
      <c r="H7">
        <f t="shared" si="0"/>
        <v>1541.13</v>
      </c>
    </row>
    <row r="8" spans="1:8" x14ac:dyDescent="0.3">
      <c r="A8" t="s">
        <v>13</v>
      </c>
      <c r="B8">
        <f>[2]July!B47</f>
        <v>142.61000000000001</v>
      </c>
      <c r="C8">
        <f>[2]July!C47</f>
        <v>410.16</v>
      </c>
      <c r="D8">
        <f>[2]July!D47</f>
        <v>158.41999999999999</v>
      </c>
      <c r="E8">
        <f>[2]July!E47</f>
        <v>842.51</v>
      </c>
      <c r="F8">
        <f>[2]July!G47</f>
        <v>402.45</v>
      </c>
      <c r="H8">
        <f t="shared" si="0"/>
        <v>1956.1499999999999</v>
      </c>
    </row>
    <row r="9" spans="1:8" x14ac:dyDescent="0.3">
      <c r="A9" t="s">
        <v>14</v>
      </c>
      <c r="B9">
        <f>[2]August!B43</f>
        <v>206.52</v>
      </c>
      <c r="C9">
        <f>[2]August!C43</f>
        <v>266.95999999999998</v>
      </c>
      <c r="D9">
        <f>[2]August!D43</f>
        <v>198.61</v>
      </c>
      <c r="E9">
        <f>[2]August!E43</f>
        <v>841.59</v>
      </c>
      <c r="F9">
        <f>[2]August!G43</f>
        <v>221.11</v>
      </c>
      <c r="H9">
        <f t="shared" si="0"/>
        <v>1734.79</v>
      </c>
    </row>
    <row r="10" spans="1:8" x14ac:dyDescent="0.3">
      <c r="A10" t="s">
        <v>15</v>
      </c>
      <c r="B10">
        <f>[2]September!B45</f>
        <v>46.78</v>
      </c>
      <c r="C10">
        <f>[2]September!C45</f>
        <v>340.49</v>
      </c>
      <c r="D10">
        <f>[2]September!D45</f>
        <v>46.96</v>
      </c>
      <c r="E10">
        <f>[2]September!E45</f>
        <v>832.33</v>
      </c>
      <c r="F10">
        <f>[2]September!G45</f>
        <v>624.08000000000004</v>
      </c>
      <c r="H10">
        <f t="shared" si="0"/>
        <v>1890.6399999999999</v>
      </c>
    </row>
    <row r="11" spans="1:8" x14ac:dyDescent="0.3">
      <c r="A11" t="s">
        <v>16</v>
      </c>
      <c r="B11">
        <f>[2]October!B42</f>
        <v>67.89</v>
      </c>
      <c r="C11">
        <f>[2]October!C42</f>
        <v>332.75999999999993</v>
      </c>
      <c r="D11">
        <f>[2]October!D42</f>
        <v>22.55</v>
      </c>
      <c r="E11">
        <f>[2]October!E42</f>
        <v>886.35</v>
      </c>
      <c r="F11">
        <f>[2]October!G42</f>
        <v>1012.88</v>
      </c>
      <c r="H11">
        <f t="shared" si="0"/>
        <v>2322.4299999999998</v>
      </c>
    </row>
    <row r="12" spans="1:8" x14ac:dyDescent="0.3">
      <c r="A12" t="s">
        <v>17</v>
      </c>
      <c r="B12">
        <f>[2]November!B34</f>
        <v>115</v>
      </c>
      <c r="C12">
        <f>[2]November!C34</f>
        <v>333.08</v>
      </c>
      <c r="D12">
        <f>[2]November!D34</f>
        <v>47.61</v>
      </c>
      <c r="E12">
        <f>[2]November!E34</f>
        <v>693.36</v>
      </c>
      <c r="F12">
        <f>[2]November!G34</f>
        <v>439.58</v>
      </c>
      <c r="H12">
        <f t="shared" si="0"/>
        <v>1628.6299999999999</v>
      </c>
    </row>
    <row r="13" spans="1:8" x14ac:dyDescent="0.3">
      <c r="A13" t="s">
        <v>18</v>
      </c>
      <c r="B13">
        <f>[2]December!B34</f>
        <v>196.06</v>
      </c>
      <c r="C13">
        <f>[2]December!C34</f>
        <v>392.72</v>
      </c>
      <c r="D13">
        <f>[2]December!D34</f>
        <v>115.75</v>
      </c>
      <c r="E13">
        <f>[2]December!E34</f>
        <v>809.1400000000001</v>
      </c>
      <c r="F13">
        <f>[2]December!G34</f>
        <v>255.09000000000003</v>
      </c>
      <c r="H13">
        <f t="shared" si="0"/>
        <v>1768.7600000000002</v>
      </c>
    </row>
    <row r="15" spans="1:8" x14ac:dyDescent="0.3">
      <c r="A15" t="s">
        <v>6</v>
      </c>
      <c r="B15">
        <f>SUM(B2:B13)</f>
        <v>1592.7500000000002</v>
      </c>
      <c r="C15">
        <f t="shared" ref="C15:F15" si="1">SUM(C2:C13)</f>
        <v>3720.8899999999994</v>
      </c>
      <c r="D15">
        <f t="shared" si="1"/>
        <v>1147.97</v>
      </c>
      <c r="E15">
        <f t="shared" si="1"/>
        <v>9620.33</v>
      </c>
      <c r="F15">
        <f t="shared" si="1"/>
        <v>4889.26</v>
      </c>
      <c r="H15">
        <f>SUM(B15:F15)</f>
        <v>20971.199999999997</v>
      </c>
    </row>
    <row r="17" spans="1:8" x14ac:dyDescent="0.3">
      <c r="A17" t="s">
        <v>19</v>
      </c>
      <c r="B17">
        <f>QUOTIENT(SUM(B2:B13),12)</f>
        <v>132</v>
      </c>
      <c r="C17">
        <f t="shared" ref="C17:E17" si="2">QUOTIENT(SUM(C2:C13),12)</f>
        <v>310</v>
      </c>
      <c r="D17">
        <f t="shared" si="2"/>
        <v>95</v>
      </c>
      <c r="E17">
        <f t="shared" si="2"/>
        <v>801</v>
      </c>
      <c r="F17">
        <f>QUOTIENT(SUM(F2:F13),12)</f>
        <v>407</v>
      </c>
      <c r="H17">
        <f>QUOTIENT(H15,12)</f>
        <v>1747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A216-56C3-45A1-8BB4-01489D2AC70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Averages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Christensen</dc:creator>
  <cp:lastModifiedBy>Kevin Christensen</cp:lastModifiedBy>
  <dcterms:created xsi:type="dcterms:W3CDTF">2019-01-24T23:42:26Z</dcterms:created>
  <dcterms:modified xsi:type="dcterms:W3CDTF">2019-03-03T17:36:50Z</dcterms:modified>
</cp:coreProperties>
</file>